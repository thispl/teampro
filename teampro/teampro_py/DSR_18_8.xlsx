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rsh\OneDrive\Documents\SPRINT\"/>
    </mc:Choice>
  </mc:AlternateContent>
  <bookViews>
    <workbookView xWindow="0" yWindow="0" windowWidth="23040" windowHeight="7824"/>
  </bookViews>
  <sheets>
    <sheet name="Alpha" sheetId="1" r:id="rId1"/>
    <sheet name="Charli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6" i="1" l="1"/>
  <c r="H38" i="1"/>
  <c r="H32" i="1"/>
  <c r="H24" i="3"/>
  <c r="H22" i="3"/>
  <c r="L17" i="3"/>
  <c r="L16" i="3"/>
  <c r="L15" i="3"/>
  <c r="L14" i="3"/>
  <c r="L13" i="3"/>
  <c r="L12" i="3"/>
  <c r="L11" i="3"/>
  <c r="L10" i="3"/>
  <c r="L9" i="3"/>
  <c r="L8" i="3"/>
  <c r="N7" i="3"/>
  <c r="M7" i="3"/>
  <c r="L7" i="3"/>
  <c r="L6" i="3"/>
  <c r="L5" i="3"/>
  <c r="L4" i="3"/>
  <c r="N3" i="3"/>
  <c r="M3" i="3"/>
  <c r="L3" i="3"/>
  <c r="L27" i="1"/>
  <c r="L26" i="1"/>
  <c r="L25" i="1"/>
  <c r="L24" i="1"/>
  <c r="L23" i="1"/>
  <c r="L22" i="1"/>
  <c r="L21" i="1"/>
  <c r="L20" i="1"/>
  <c r="L19" i="1"/>
  <c r="L18" i="1"/>
  <c r="N17" i="1"/>
  <c r="M17" i="1"/>
  <c r="L17" i="1"/>
  <c r="L16" i="1"/>
  <c r="L15" i="1"/>
  <c r="L14" i="1"/>
  <c r="L13" i="1"/>
  <c r="L12" i="1"/>
  <c r="L11" i="1"/>
  <c r="L10" i="1"/>
  <c r="N9" i="1"/>
  <c r="M9" i="1"/>
  <c r="L9" i="1"/>
  <c r="L8" i="1"/>
  <c r="L7" i="1"/>
  <c r="L6" i="1"/>
  <c r="L5" i="1"/>
  <c r="L4" i="1"/>
  <c r="N3" i="1"/>
  <c r="M3" i="1"/>
  <c r="L3" i="1"/>
</calcChain>
</file>

<file path=xl/sharedStrings.xml><?xml version="1.0" encoding="utf-8"?>
<sst xmlns="http://schemas.openxmlformats.org/spreadsheetml/2006/main" count="516" uniqueCount="167">
  <si>
    <t>ALPHA - DSR - 18/8</t>
  </si>
  <si>
    <t>S.No</t>
  </si>
  <si>
    <t>Team</t>
  </si>
  <si>
    <t>ID</t>
  </si>
  <si>
    <t>Project Name</t>
  </si>
  <si>
    <t>Subject</t>
  </si>
  <si>
    <t>CB</t>
  </si>
  <si>
    <t>ET</t>
  </si>
  <si>
    <t>RT</t>
  </si>
  <si>
    <t>Priority</t>
  </si>
  <si>
    <t>Current status</t>
  </si>
  <si>
    <t>AT taken</t>
  </si>
  <si>
    <t>AT%</t>
  </si>
  <si>
    <t>P%</t>
  </si>
  <si>
    <t>E%</t>
  </si>
  <si>
    <t>Alpha</t>
  </si>
  <si>
    <t>TS23863</t>
  </si>
  <si>
    <t>Shaher_ERP_15.10.2024</t>
  </si>
  <si>
    <t>Need to remove the restriction in Leave Applicable  will be applied for 30 days except for company Shaher</t>
  </si>
  <si>
    <t>GP</t>
  </si>
  <si>
    <t>High</t>
  </si>
  <si>
    <t>Pending Review</t>
  </si>
  <si>
    <t>TS23774</t>
  </si>
  <si>
    <t>Internal ERP - TEAMPRO V15</t>
  </si>
  <si>
    <t>Updates in IT dashboard</t>
  </si>
  <si>
    <t>TS23874</t>
  </si>
  <si>
    <t>Need to check the Leave Balance SUOM484, SU420</t>
  </si>
  <si>
    <t>TS23784</t>
  </si>
  <si>
    <t>Leave salary coming wrong</t>
  </si>
  <si>
    <t>Medium</t>
  </si>
  <si>
    <t>TS23742</t>
  </si>
  <si>
    <t xml:space="preserve">Need to check the Activity Log of Ali Hassan Sahi </t>
  </si>
  <si>
    <t>TS23746</t>
  </si>
  <si>
    <t>Need to give a Bar Code for Asset Item</t>
  </si>
  <si>
    <t>Working</t>
  </si>
  <si>
    <t>TS23886</t>
  </si>
  <si>
    <t>RANK_ERP_07.04.2025</t>
  </si>
  <si>
    <t>Meeting with ismail sir - 19/08</t>
  </si>
  <si>
    <t>PS</t>
  </si>
  <si>
    <t>Completed</t>
  </si>
  <si>
    <t>TS22909</t>
  </si>
  <si>
    <t>Financial Audit dashboard - should have a drill down feature to get into details.</t>
  </si>
  <si>
    <t>TS22914</t>
  </si>
  <si>
    <t xml:space="preserve"> In all documents, both foreign currency and local currency should be available in case of dealing with foreign vendors and customers.</t>
  </si>
  <si>
    <t>TS23859</t>
  </si>
  <si>
    <t xml:space="preserve">For the company Alpha - for the accounting documents (JV, SI,PI and Payment entry) need to remove signature </t>
  </si>
  <si>
    <t>TS23868</t>
  </si>
  <si>
    <t>Shaya Polymers_HRPRO_21.11.25</t>
  </si>
  <si>
    <t>Need to update the biometric and user id details for the employees</t>
  </si>
  <si>
    <t>TS23776</t>
  </si>
  <si>
    <t xml:space="preserve">Payment cleared for the month of April in Profit and Loss report , the due is reflecting </t>
  </si>
  <si>
    <t>TS23882</t>
  </si>
  <si>
    <t>Not able to save PO</t>
  </si>
  <si>
    <t>TS23883</t>
  </si>
  <si>
    <t>Need to create new company - Prime Doors Company</t>
  </si>
  <si>
    <t>TS23786</t>
  </si>
  <si>
    <t>Norden_ERP_01.05.21</t>
  </si>
  <si>
    <t>In Stock as on 31 Dec 2024 8,845,054.13 but in ageing report 9,438,325.57</t>
  </si>
  <si>
    <t>TBA</t>
  </si>
  <si>
    <t>Urgent</t>
  </si>
  <si>
    <t>Client Review</t>
  </si>
  <si>
    <t>TS23865</t>
  </si>
  <si>
    <t>For Vending Machine template upload should be accept item code without - symbol. Need to check the teamplate shared by Kumaran Sir and Amirt</t>
  </si>
  <si>
    <t>TS23810</t>
  </si>
  <si>
    <t>JGB_ERP_Implementation_30/05/25</t>
  </si>
  <si>
    <t>In Purchase invoice stock billed account not come based on division. Need to check this</t>
  </si>
  <si>
    <t>TS23877</t>
  </si>
  <si>
    <t>Submit button not visible to user Shiyas in Purchase order 2506</t>
  </si>
  <si>
    <t>TS23763</t>
  </si>
  <si>
    <t>Taihan_ERP_01.10.2024</t>
  </si>
  <si>
    <t>Need to create Print format for job card as per attachment.Barcode and Batch ID is must needed</t>
  </si>
  <si>
    <t>TS23811</t>
  </si>
  <si>
    <t>Some delivery notes not connected with its sales order.</t>
  </si>
  <si>
    <t>TS23812</t>
  </si>
  <si>
    <t>In Delivery note report, some delivery note was not billed due to decimal problem. Need to close that delivery note</t>
  </si>
  <si>
    <t>TS23816</t>
  </si>
  <si>
    <t xml:space="preserve">For asset purchase invoice, need to get account asset received. </t>
  </si>
  <si>
    <t>TS23869</t>
  </si>
  <si>
    <t>For Stock Received and Not billed account how 25164015.47000006 this amount came as opening. Need to check</t>
  </si>
  <si>
    <t>TS23764</t>
  </si>
  <si>
    <t>While creating the Stranding Material Transfer, we need to consider the full quantity produced for the Buffering item from the batch.For exa</t>
  </si>
  <si>
    <t>TS23871</t>
  </si>
  <si>
    <t>TEAMPRO Website</t>
  </si>
  <si>
    <t>Need to change Header size to small and In Common pages need to change images related to that website</t>
  </si>
  <si>
    <t>Charlie</t>
  </si>
  <si>
    <t>TS23789</t>
  </si>
  <si>
    <t>Project Library</t>
  </si>
  <si>
    <t>Frappe Framework Training- 1</t>
  </si>
  <si>
    <t>JH</t>
  </si>
  <si>
    <t>TS23850</t>
  </si>
  <si>
    <t>Bio Metric Registration for TFP employee</t>
  </si>
  <si>
    <t>TS23851</t>
  </si>
  <si>
    <t>Assets Send to New Employee</t>
  </si>
  <si>
    <t>TS23738</t>
  </si>
  <si>
    <t>Aramm HR_SALESPRO_18.08.26</t>
  </si>
  <si>
    <t>Lead Fields update and Give a separate data import tool with the template</t>
  </si>
  <si>
    <t>TS23748</t>
  </si>
  <si>
    <t>KBL_HRMS 2nd Phase_02.04.2025</t>
  </si>
  <si>
    <t>Chief executive officeneed to come below the signature in Performance Improvement Plan print</t>
  </si>
  <si>
    <t>SM</t>
  </si>
  <si>
    <t>TS23818</t>
  </si>
  <si>
    <t>BGV entry could not be found on BGV portal  Job application ref: Nesanoor Rajashekar, Kushankumar K and Praveen S</t>
  </si>
  <si>
    <t>TS23854</t>
  </si>
  <si>
    <t>The attached undertaking form to be replaced in the set of post joining documents.</t>
  </si>
  <si>
    <t>TS23861</t>
  </si>
  <si>
    <t>For this Staff KSL1750, leave accruals are not updated need to check</t>
  </si>
  <si>
    <t>TS23860</t>
  </si>
  <si>
    <t>Hindustan Academy_ERP_06.11.2024</t>
  </si>
  <si>
    <t>Need to correct the Outstanding amount in Fees</t>
  </si>
  <si>
    <t>TS23856</t>
  </si>
  <si>
    <t>TSA_BLR_HRPRO_03/07/23</t>
  </si>
  <si>
    <t>For 6th Aug OT created for all employees</t>
  </si>
  <si>
    <t>TS23879</t>
  </si>
  <si>
    <t>Provide access for the document type "Candidate List" in Data Import</t>
  </si>
  <si>
    <t>TS23752</t>
  </si>
  <si>
    <t>IR India HRPRO Implementation</t>
  </si>
  <si>
    <t xml:space="preserve"> the employee takes leave,lop,absent for more than  3 consecutive days, an email notification should be sent to us on the third day.</t>
  </si>
  <si>
    <t>TS23875</t>
  </si>
  <si>
    <t>Johoku_01.07.2022</t>
  </si>
  <si>
    <t>Attendnance Summary is not visible for JMPLS209</t>
  </si>
  <si>
    <t>TS23665</t>
  </si>
  <si>
    <t>QPIC_ERP_10.04.22</t>
  </si>
  <si>
    <t>Qty are not refetced in Technical Sheet_PE-TS-PE-BAG-2026-00033_ Material Combination</t>
  </si>
  <si>
    <t>TS23846</t>
  </si>
  <si>
    <t>Need to update the Machinery values which given in excel</t>
  </si>
  <si>
    <t>Total RT</t>
  </si>
  <si>
    <t>TS23898</t>
  </si>
  <si>
    <t>Frappe Framework-2</t>
  </si>
  <si>
    <t>TS23876</t>
  </si>
  <si>
    <t>On duty Application is Approved , But still the attendance is showing Absent Status.</t>
  </si>
  <si>
    <t>TS23878</t>
  </si>
  <si>
    <t>Need to correct the Leave balance for given employee as per the attached sheet</t>
  </si>
  <si>
    <t>TS23845</t>
  </si>
  <si>
    <t>Need to  cross check the Item Master sheet and upload the Items</t>
  </si>
  <si>
    <t>CHARLIE - DSR - 18/8</t>
  </si>
  <si>
    <t>CHARLIE - DPR - 19/8</t>
  </si>
  <si>
    <t>ALPHA - DPR - 19/8</t>
  </si>
  <si>
    <t>TS23896</t>
  </si>
  <si>
    <t>Rejected Leaves are showing in Leave history of Leave Application</t>
  </si>
  <si>
    <t>TS23897</t>
  </si>
  <si>
    <t>Rejected Leave Application notification</t>
  </si>
  <si>
    <t>TS23602</t>
  </si>
  <si>
    <t>ELECTRA_ERP_07.06.2021</t>
  </si>
  <si>
    <t>Em# 006 â€“ Overtime calculation shows a difference of QAR 3.</t>
  </si>
  <si>
    <t>TS23663</t>
  </si>
  <si>
    <t>Updates in AI Lead validation</t>
  </si>
  <si>
    <t>TS23891</t>
  </si>
  <si>
    <t>Galfar_PMS_12.03.26</t>
  </si>
  <si>
    <t>Need to update training data in appraisals</t>
  </si>
  <si>
    <t>TS23892</t>
  </si>
  <si>
    <t xml:space="preserve">Need to connect with Ismail sir to cross check the chart of accounts </t>
  </si>
  <si>
    <t>TS22915</t>
  </si>
  <si>
    <t>In case of bank balance, want to know below from system.Cheque prepared but not yet given to Vendor's with related details like cheque date,</t>
  </si>
  <si>
    <t>TS22927</t>
  </si>
  <si>
    <t>they have around 43 documents to be implemented in ERP in which only 9 documents are available, need to bring the remaining documents.each d</t>
  </si>
  <si>
    <t>TS23890</t>
  </si>
  <si>
    <t>Not able to save leave salary documents</t>
  </si>
  <si>
    <t>TS23893</t>
  </si>
  <si>
    <t>Taihan Meeting with arif sir - 20/08/26</t>
  </si>
  <si>
    <t>TS23894</t>
  </si>
  <si>
    <t>When requests such as leave applications or work-from-home (WFH) submissions are raised, the system is not sending automatic email notificat</t>
  </si>
  <si>
    <t>TS23895</t>
  </si>
  <si>
    <t>Employee, Mr. Saranraj E (Employee ID: 1-01-109), who is the HOD, is currently unable to approve leave requests submitted by the employees u</t>
  </si>
  <si>
    <t>TS23756</t>
  </si>
  <si>
    <t>Auto allocation of Annual Leave not working</t>
  </si>
  <si>
    <t>TS23899</t>
  </si>
  <si>
    <t xml:space="preserve">Need to check the PP fabric technical sheet and costing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</si>
</sst>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2" xfId="0" applyBorder="1"/>
    <xf numFmtId="9" fontId="0" fillId="0" borderId="2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abSelected="1" topLeftCell="A24" workbookViewId="0">
      <selection activeCell="I37" sqref="I37"/>
    </sheetView>
  </sheetViews>
  <sheetFormatPr defaultRowHeight="14.4" x14ac:dyDescent="0.3"/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3">
      <c r="A3" s="3">
        <v>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>
        <v>0.5</v>
      </c>
      <c r="H3" s="3">
        <v>0.5</v>
      </c>
      <c r="I3" s="3" t="s">
        <v>20</v>
      </c>
      <c r="J3" s="3" t="s">
        <v>21</v>
      </c>
      <c r="K3" s="3">
        <v>0.27</v>
      </c>
      <c r="L3" s="3">
        <f>K3*100/G3</f>
        <v>54</v>
      </c>
      <c r="M3" s="4">
        <f>SUM(H3:H7)/SUM(H3:H8)</f>
        <v>0.85148514851485146</v>
      </c>
      <c r="N3" s="4">
        <f>SUM(K3:K8)/SUM(H3:H8)</f>
        <v>1.1188118811881189</v>
      </c>
    </row>
    <row r="4" spans="1:14" x14ac:dyDescent="0.3">
      <c r="A4" s="3">
        <v>2</v>
      </c>
      <c r="B4" s="3" t="s">
        <v>15</v>
      </c>
      <c r="C4" s="3" t="s">
        <v>22</v>
      </c>
      <c r="D4" s="3" t="s">
        <v>23</v>
      </c>
      <c r="E4" s="3" t="s">
        <v>24</v>
      </c>
      <c r="F4" s="3" t="s">
        <v>19</v>
      </c>
      <c r="G4" s="3">
        <v>3</v>
      </c>
      <c r="H4" s="3">
        <v>1.8</v>
      </c>
      <c r="I4" s="3" t="s">
        <v>20</v>
      </c>
      <c r="J4" s="3" t="s">
        <v>21</v>
      </c>
      <c r="K4" s="3">
        <v>2.2000000000000002</v>
      </c>
      <c r="L4" s="3">
        <f>K4*100/G4</f>
        <v>73.333333333333343</v>
      </c>
      <c r="M4" s="4"/>
      <c r="N4" s="4"/>
    </row>
    <row r="5" spans="1:14" x14ac:dyDescent="0.3">
      <c r="A5" s="3">
        <v>3</v>
      </c>
      <c r="B5" s="3" t="s">
        <v>15</v>
      </c>
      <c r="C5" s="3" t="s">
        <v>25</v>
      </c>
      <c r="D5" s="3" t="s">
        <v>17</v>
      </c>
      <c r="E5" s="3" t="s">
        <v>26</v>
      </c>
      <c r="F5" s="3" t="s">
        <v>19</v>
      </c>
      <c r="G5" s="3">
        <v>0.5</v>
      </c>
      <c r="H5" s="3">
        <v>0.5</v>
      </c>
      <c r="I5" s="3" t="s">
        <v>20</v>
      </c>
      <c r="J5" s="3" t="s">
        <v>21</v>
      </c>
      <c r="K5" s="3">
        <v>0.85</v>
      </c>
      <c r="L5" s="3">
        <f>K5*100/G5</f>
        <v>170</v>
      </c>
      <c r="M5" s="4"/>
      <c r="N5" s="4"/>
    </row>
    <row r="6" spans="1:14" x14ac:dyDescent="0.3">
      <c r="A6" s="3">
        <v>4</v>
      </c>
      <c r="B6" s="3" t="s">
        <v>15</v>
      </c>
      <c r="C6" s="3" t="s">
        <v>27</v>
      </c>
      <c r="D6" s="3" t="s">
        <v>17</v>
      </c>
      <c r="E6" s="3" t="s">
        <v>28</v>
      </c>
      <c r="F6" s="3" t="s">
        <v>19</v>
      </c>
      <c r="G6" s="3">
        <v>1</v>
      </c>
      <c r="H6" s="3">
        <v>1</v>
      </c>
      <c r="I6" s="3" t="s">
        <v>29</v>
      </c>
      <c r="J6" s="3" t="s">
        <v>21</v>
      </c>
      <c r="K6" s="3">
        <v>0.52</v>
      </c>
      <c r="L6" s="3">
        <f>K6*100/G6</f>
        <v>52</v>
      </c>
      <c r="M6" s="4"/>
      <c r="N6" s="4"/>
    </row>
    <row r="7" spans="1:14" x14ac:dyDescent="0.3">
      <c r="A7" s="3">
        <v>5</v>
      </c>
      <c r="B7" s="3" t="s">
        <v>15</v>
      </c>
      <c r="C7" s="3" t="s">
        <v>30</v>
      </c>
      <c r="D7" s="3" t="s">
        <v>17</v>
      </c>
      <c r="E7" s="3" t="s">
        <v>31</v>
      </c>
      <c r="F7" s="3" t="s">
        <v>19</v>
      </c>
      <c r="G7" s="3">
        <v>0.5</v>
      </c>
      <c r="H7" s="3">
        <v>0.5</v>
      </c>
      <c r="I7" s="3" t="s">
        <v>29</v>
      </c>
      <c r="J7" s="3" t="s">
        <v>21</v>
      </c>
      <c r="K7" s="3">
        <v>0.97</v>
      </c>
      <c r="L7" s="3">
        <f>K7*100/G7</f>
        <v>194</v>
      </c>
      <c r="M7" s="4"/>
      <c r="N7" s="4"/>
    </row>
    <row r="8" spans="1:14" x14ac:dyDescent="0.3">
      <c r="A8" s="3">
        <v>6</v>
      </c>
      <c r="B8" s="3" t="s">
        <v>15</v>
      </c>
      <c r="C8" s="3" t="s">
        <v>32</v>
      </c>
      <c r="D8" s="3" t="s">
        <v>17</v>
      </c>
      <c r="E8" s="3" t="s">
        <v>33</v>
      </c>
      <c r="F8" s="3" t="s">
        <v>19</v>
      </c>
      <c r="G8" s="3">
        <v>0.75</v>
      </c>
      <c r="H8" s="3">
        <v>0.75</v>
      </c>
      <c r="I8" s="3" t="s">
        <v>20</v>
      </c>
      <c r="J8" s="3" t="s">
        <v>34</v>
      </c>
      <c r="K8" s="3">
        <v>0.84</v>
      </c>
      <c r="L8" s="3">
        <f>K8*100/G8</f>
        <v>112</v>
      </c>
      <c r="M8" s="4"/>
      <c r="N8" s="4"/>
    </row>
    <row r="9" spans="1:14" x14ac:dyDescent="0.3">
      <c r="A9" s="3">
        <v>7</v>
      </c>
      <c r="B9" s="3" t="s">
        <v>15</v>
      </c>
      <c r="C9" s="3" t="s">
        <v>35</v>
      </c>
      <c r="D9" s="3" t="s">
        <v>36</v>
      </c>
      <c r="E9" s="3" t="s">
        <v>37</v>
      </c>
      <c r="F9" s="3" t="s">
        <v>38</v>
      </c>
      <c r="G9" s="3">
        <v>0.5</v>
      </c>
      <c r="H9" s="3">
        <v>0.5</v>
      </c>
      <c r="I9" s="3" t="s">
        <v>29</v>
      </c>
      <c r="J9" s="3" t="s">
        <v>39</v>
      </c>
      <c r="K9" s="3">
        <v>0.46</v>
      </c>
      <c r="L9" s="3">
        <f>K9*100/G9</f>
        <v>92</v>
      </c>
      <c r="M9" s="4">
        <f>SUM(H9:H13)/SUM(H9:H16)</f>
        <v>0.70022883295194505</v>
      </c>
      <c r="N9" s="4">
        <f>SUM(K9:K16)/SUM(H9:H16)</f>
        <v>0.74828375286041193</v>
      </c>
    </row>
    <row r="10" spans="1:14" x14ac:dyDescent="0.3">
      <c r="A10" s="3">
        <v>8</v>
      </c>
      <c r="B10" s="3" t="s">
        <v>15</v>
      </c>
      <c r="C10" s="3" t="s">
        <v>40</v>
      </c>
      <c r="D10" s="3" t="s">
        <v>17</v>
      </c>
      <c r="E10" s="3" t="s">
        <v>41</v>
      </c>
      <c r="F10" s="3" t="s">
        <v>38</v>
      </c>
      <c r="G10" s="3">
        <v>4</v>
      </c>
      <c r="H10" s="3">
        <v>1.62</v>
      </c>
      <c r="I10" s="3" t="s">
        <v>29</v>
      </c>
      <c r="J10" s="3" t="s">
        <v>21</v>
      </c>
      <c r="K10" s="3">
        <v>3.41</v>
      </c>
      <c r="L10" s="3">
        <f>K10*100/G10</f>
        <v>85.25</v>
      </c>
      <c r="M10" s="4"/>
      <c r="N10" s="4"/>
    </row>
    <row r="11" spans="1:14" x14ac:dyDescent="0.3">
      <c r="A11" s="3">
        <v>9</v>
      </c>
      <c r="B11" s="3" t="s">
        <v>15</v>
      </c>
      <c r="C11" s="3" t="s">
        <v>42</v>
      </c>
      <c r="D11" s="3" t="s">
        <v>17</v>
      </c>
      <c r="E11" s="3" t="s">
        <v>43</v>
      </c>
      <c r="F11" s="3" t="s">
        <v>38</v>
      </c>
      <c r="G11" s="3">
        <v>2</v>
      </c>
      <c r="H11" s="3">
        <v>2</v>
      </c>
      <c r="I11" s="3" t="s">
        <v>29</v>
      </c>
      <c r="J11" s="3" t="s">
        <v>21</v>
      </c>
      <c r="K11" s="3">
        <v>0</v>
      </c>
      <c r="L11" s="3">
        <f>K11*100/G11</f>
        <v>0</v>
      </c>
      <c r="M11" s="4"/>
      <c r="N11" s="4"/>
    </row>
    <row r="12" spans="1:14" x14ac:dyDescent="0.3">
      <c r="A12" s="3">
        <v>10</v>
      </c>
      <c r="B12" s="3" t="s">
        <v>15</v>
      </c>
      <c r="C12" s="3" t="s">
        <v>44</v>
      </c>
      <c r="D12" s="3" t="s">
        <v>17</v>
      </c>
      <c r="E12" s="3" t="s">
        <v>45</v>
      </c>
      <c r="F12" s="3" t="s">
        <v>38</v>
      </c>
      <c r="G12" s="3">
        <v>1</v>
      </c>
      <c r="H12" s="3">
        <v>1</v>
      </c>
      <c r="I12" s="3" t="s">
        <v>29</v>
      </c>
      <c r="J12" s="3" t="s">
        <v>21</v>
      </c>
      <c r="K12" s="3">
        <v>0.99</v>
      </c>
      <c r="L12" s="3">
        <f>K12*100/G12</f>
        <v>99</v>
      </c>
      <c r="M12" s="4"/>
      <c r="N12" s="4"/>
    </row>
    <row r="13" spans="1:14" x14ac:dyDescent="0.3">
      <c r="A13" s="3">
        <v>11</v>
      </c>
      <c r="B13" s="3" t="s">
        <v>15</v>
      </c>
      <c r="C13" s="3" t="s">
        <v>46</v>
      </c>
      <c r="D13" s="3" t="s">
        <v>47</v>
      </c>
      <c r="E13" s="3" t="s">
        <v>48</v>
      </c>
      <c r="F13" s="3" t="s">
        <v>38</v>
      </c>
      <c r="G13" s="3">
        <v>1</v>
      </c>
      <c r="H13" s="3">
        <v>1</v>
      </c>
      <c r="I13" s="3" t="s">
        <v>20</v>
      </c>
      <c r="J13" s="3" t="s">
        <v>21</v>
      </c>
      <c r="K13" s="3">
        <v>0.86</v>
      </c>
      <c r="L13" s="3">
        <f>K13*100/G13</f>
        <v>86</v>
      </c>
      <c r="M13" s="4"/>
      <c r="N13" s="4"/>
    </row>
    <row r="14" spans="1:14" x14ac:dyDescent="0.3">
      <c r="A14" s="3">
        <v>12</v>
      </c>
      <c r="B14" s="3" t="s">
        <v>15</v>
      </c>
      <c r="C14" s="3" t="s">
        <v>49</v>
      </c>
      <c r="D14" s="3" t="s">
        <v>17</v>
      </c>
      <c r="E14" s="3" t="s">
        <v>50</v>
      </c>
      <c r="F14" s="3" t="s">
        <v>38</v>
      </c>
      <c r="G14" s="3">
        <v>1</v>
      </c>
      <c r="H14" s="3">
        <v>0.62</v>
      </c>
      <c r="I14" s="3" t="s">
        <v>29</v>
      </c>
      <c r="J14" s="3" t="s">
        <v>34</v>
      </c>
      <c r="K14" s="3">
        <v>0.02</v>
      </c>
      <c r="L14" s="3">
        <f>K14*100/G14</f>
        <v>2</v>
      </c>
      <c r="M14" s="4"/>
      <c r="N14" s="4"/>
    </row>
    <row r="15" spans="1:14" x14ac:dyDescent="0.3">
      <c r="A15" s="3">
        <v>13</v>
      </c>
      <c r="B15" s="3" t="s">
        <v>15</v>
      </c>
      <c r="C15" s="3" t="s">
        <v>51</v>
      </c>
      <c r="D15" s="3" t="s">
        <v>17</v>
      </c>
      <c r="E15" s="3" t="s">
        <v>52</v>
      </c>
      <c r="F15" s="3" t="s">
        <v>38</v>
      </c>
      <c r="G15" s="3">
        <v>0.5</v>
      </c>
      <c r="H15" s="3">
        <v>0.5</v>
      </c>
      <c r="I15" s="3" t="s">
        <v>20</v>
      </c>
      <c r="J15" s="3" t="s">
        <v>34</v>
      </c>
      <c r="K15" s="3">
        <v>0.19</v>
      </c>
      <c r="L15" s="3">
        <f>K15*100/G15</f>
        <v>38</v>
      </c>
      <c r="M15" s="4"/>
      <c r="N15" s="4"/>
    </row>
    <row r="16" spans="1:14" x14ac:dyDescent="0.3">
      <c r="A16" s="3">
        <v>14</v>
      </c>
      <c r="B16" s="3" t="s">
        <v>15</v>
      </c>
      <c r="C16" s="3" t="s">
        <v>53</v>
      </c>
      <c r="D16" s="3" t="s">
        <v>36</v>
      </c>
      <c r="E16" s="3" t="s">
        <v>54</v>
      </c>
      <c r="F16" s="3" t="s">
        <v>38</v>
      </c>
      <c r="G16" s="3">
        <v>1.5</v>
      </c>
      <c r="H16" s="3">
        <v>1.5</v>
      </c>
      <c r="I16" s="3" t="s">
        <v>20</v>
      </c>
      <c r="J16" s="3" t="s">
        <v>34</v>
      </c>
      <c r="K16" s="3">
        <v>0.61</v>
      </c>
      <c r="L16" s="3">
        <f>K16*100/G16</f>
        <v>40.666666666666664</v>
      </c>
      <c r="M16" s="4"/>
      <c r="N16" s="4"/>
    </row>
    <row r="17" spans="1:14" x14ac:dyDescent="0.3">
      <c r="A17" s="3">
        <v>15</v>
      </c>
      <c r="B17" s="3" t="s">
        <v>15</v>
      </c>
      <c r="C17" s="3" t="s">
        <v>55</v>
      </c>
      <c r="D17" s="3" t="s">
        <v>56</v>
      </c>
      <c r="E17" s="3" t="s">
        <v>57</v>
      </c>
      <c r="F17" s="3" t="s">
        <v>58</v>
      </c>
      <c r="G17" s="3">
        <v>0.75</v>
      </c>
      <c r="H17" s="3"/>
      <c r="I17" s="3" t="s">
        <v>59</v>
      </c>
      <c r="J17" s="3" t="s">
        <v>60</v>
      </c>
      <c r="K17" s="3">
        <v>0.1</v>
      </c>
      <c r="L17" s="3">
        <f>K17*100/G17</f>
        <v>13.333333333333334</v>
      </c>
      <c r="M17" s="4">
        <f>SUM(H17:H21)/SUM(H17:H27)</f>
        <v>0.41067761806981518</v>
      </c>
      <c r="N17" s="4">
        <f>SUM(K17:K27)/SUM(H17:H27)</f>
        <v>0.75872689938398363</v>
      </c>
    </row>
    <row r="18" spans="1:14" x14ac:dyDescent="0.3">
      <c r="A18" s="3">
        <v>16</v>
      </c>
      <c r="B18" s="3" t="s">
        <v>15</v>
      </c>
      <c r="C18" s="3" t="s">
        <v>61</v>
      </c>
      <c r="D18" s="3" t="s">
        <v>23</v>
      </c>
      <c r="E18" s="3" t="s">
        <v>62</v>
      </c>
      <c r="F18" s="3" t="s">
        <v>58</v>
      </c>
      <c r="G18" s="3">
        <v>1</v>
      </c>
      <c r="H18" s="3">
        <v>1</v>
      </c>
      <c r="I18" s="3" t="s">
        <v>20</v>
      </c>
      <c r="J18" s="3" t="s">
        <v>21</v>
      </c>
      <c r="K18" s="3">
        <v>1.47</v>
      </c>
      <c r="L18" s="3">
        <f>K18*100/G18</f>
        <v>147</v>
      </c>
      <c r="M18" s="4"/>
      <c r="N18" s="4"/>
    </row>
    <row r="19" spans="1:14" x14ac:dyDescent="0.3">
      <c r="A19" s="3">
        <v>17</v>
      </c>
      <c r="B19" s="3" t="s">
        <v>15</v>
      </c>
      <c r="C19" s="3" t="s">
        <v>63</v>
      </c>
      <c r="D19" s="3" t="s">
        <v>64</v>
      </c>
      <c r="E19" s="3" t="s">
        <v>65</v>
      </c>
      <c r="F19" s="3" t="s">
        <v>58</v>
      </c>
      <c r="G19" s="3">
        <v>1</v>
      </c>
      <c r="H19" s="3">
        <v>1</v>
      </c>
      <c r="I19" s="3" t="s">
        <v>29</v>
      </c>
      <c r="J19" s="3" t="s">
        <v>21</v>
      </c>
      <c r="K19" s="3">
        <v>0.86</v>
      </c>
      <c r="L19" s="3">
        <f>K19*100/G19</f>
        <v>86</v>
      </c>
      <c r="M19" s="4"/>
      <c r="N19" s="4"/>
    </row>
    <row r="20" spans="1:14" x14ac:dyDescent="0.3">
      <c r="A20" s="3">
        <v>18</v>
      </c>
      <c r="B20" s="3" t="s">
        <v>15</v>
      </c>
      <c r="C20" s="3" t="s">
        <v>66</v>
      </c>
      <c r="D20" s="3" t="s">
        <v>64</v>
      </c>
      <c r="E20" s="3" t="s">
        <v>67</v>
      </c>
      <c r="F20" s="3" t="s">
        <v>58</v>
      </c>
      <c r="G20" s="3">
        <v>0.5</v>
      </c>
      <c r="H20" s="3">
        <v>0.5</v>
      </c>
      <c r="I20" s="3" t="s">
        <v>20</v>
      </c>
      <c r="J20" s="3" t="s">
        <v>21</v>
      </c>
      <c r="K20" s="3">
        <v>0.39</v>
      </c>
      <c r="L20" s="3">
        <f>K20*100/G20</f>
        <v>78</v>
      </c>
      <c r="M20" s="4"/>
      <c r="N20" s="4"/>
    </row>
    <row r="21" spans="1:14" x14ac:dyDescent="0.3">
      <c r="A21" s="3">
        <v>19</v>
      </c>
      <c r="B21" s="3" t="s">
        <v>15</v>
      </c>
      <c r="C21" s="3" t="s">
        <v>68</v>
      </c>
      <c r="D21" s="3" t="s">
        <v>69</v>
      </c>
      <c r="E21" s="3" t="s">
        <v>70</v>
      </c>
      <c r="F21" s="3" t="s">
        <v>58</v>
      </c>
      <c r="G21" s="3">
        <v>1.5</v>
      </c>
      <c r="H21" s="3">
        <v>1.5</v>
      </c>
      <c r="I21" s="3" t="s">
        <v>20</v>
      </c>
      <c r="J21" s="3" t="s">
        <v>21</v>
      </c>
      <c r="K21" s="3">
        <v>1.73</v>
      </c>
      <c r="L21" s="3">
        <f>K21*100/G21</f>
        <v>115.33333333333333</v>
      </c>
      <c r="M21" s="4"/>
      <c r="N21" s="4"/>
    </row>
    <row r="22" spans="1:14" x14ac:dyDescent="0.3">
      <c r="A22" s="3">
        <v>20</v>
      </c>
      <c r="B22" s="3" t="s">
        <v>15</v>
      </c>
      <c r="C22" s="3" t="s">
        <v>71</v>
      </c>
      <c r="D22" s="3" t="s">
        <v>64</v>
      </c>
      <c r="E22" s="3" t="s">
        <v>72</v>
      </c>
      <c r="F22" s="3" t="s">
        <v>58</v>
      </c>
      <c r="G22" s="3">
        <v>1</v>
      </c>
      <c r="H22" s="3">
        <v>0.74</v>
      </c>
      <c r="I22" s="3" t="s">
        <v>29</v>
      </c>
      <c r="J22" s="3" t="s">
        <v>34</v>
      </c>
      <c r="K22" s="3">
        <v>0</v>
      </c>
      <c r="L22" s="3">
        <f>K22*100/G22</f>
        <v>0</v>
      </c>
      <c r="M22" s="4"/>
      <c r="N22" s="4"/>
    </row>
    <row r="23" spans="1:14" x14ac:dyDescent="0.3">
      <c r="A23" s="3">
        <v>21</v>
      </c>
      <c r="B23" s="3" t="s">
        <v>15</v>
      </c>
      <c r="C23" s="3" t="s">
        <v>73</v>
      </c>
      <c r="D23" s="3" t="s">
        <v>64</v>
      </c>
      <c r="E23" s="3" t="s">
        <v>74</v>
      </c>
      <c r="F23" s="3" t="s">
        <v>58</v>
      </c>
      <c r="G23" s="3">
        <v>0.5</v>
      </c>
      <c r="H23" s="3">
        <v>0.5</v>
      </c>
      <c r="I23" s="3" t="s">
        <v>20</v>
      </c>
      <c r="J23" s="3" t="s">
        <v>34</v>
      </c>
      <c r="K23" s="3">
        <v>0</v>
      </c>
      <c r="L23" s="3">
        <f>K23*100/G23</f>
        <v>0</v>
      </c>
      <c r="M23" s="4"/>
      <c r="N23" s="4"/>
    </row>
    <row r="24" spans="1:14" x14ac:dyDescent="0.3">
      <c r="A24" s="3">
        <v>22</v>
      </c>
      <c r="B24" s="3" t="s">
        <v>15</v>
      </c>
      <c r="C24" s="3" t="s">
        <v>75</v>
      </c>
      <c r="D24" s="3" t="s">
        <v>64</v>
      </c>
      <c r="E24" s="3" t="s">
        <v>76</v>
      </c>
      <c r="F24" s="3" t="s">
        <v>58</v>
      </c>
      <c r="G24" s="3">
        <v>0.5</v>
      </c>
      <c r="H24" s="3">
        <v>0.5</v>
      </c>
      <c r="I24" s="3" t="s">
        <v>29</v>
      </c>
      <c r="J24" s="3" t="s">
        <v>34</v>
      </c>
      <c r="K24" s="3">
        <v>0</v>
      </c>
      <c r="L24" s="3">
        <f>K24*100/G24</f>
        <v>0</v>
      </c>
      <c r="M24" s="4"/>
      <c r="N24" s="4"/>
    </row>
    <row r="25" spans="1:14" x14ac:dyDescent="0.3">
      <c r="A25" s="3">
        <v>23</v>
      </c>
      <c r="B25" s="3" t="s">
        <v>15</v>
      </c>
      <c r="C25" s="3" t="s">
        <v>77</v>
      </c>
      <c r="D25" s="3" t="s">
        <v>56</v>
      </c>
      <c r="E25" s="3" t="s">
        <v>78</v>
      </c>
      <c r="F25" s="3" t="s">
        <v>58</v>
      </c>
      <c r="G25" s="3">
        <v>1</v>
      </c>
      <c r="H25" s="3">
        <v>1</v>
      </c>
      <c r="I25" s="3" t="s">
        <v>59</v>
      </c>
      <c r="J25" s="3" t="s">
        <v>34</v>
      </c>
      <c r="K25" s="3">
        <v>2</v>
      </c>
      <c r="L25" s="3">
        <f>K25*100/G25</f>
        <v>200</v>
      </c>
      <c r="M25" s="4"/>
      <c r="N25" s="4"/>
    </row>
    <row r="26" spans="1:14" x14ac:dyDescent="0.3">
      <c r="A26" s="3">
        <v>24</v>
      </c>
      <c r="B26" s="3" t="s">
        <v>15</v>
      </c>
      <c r="C26" s="3" t="s">
        <v>79</v>
      </c>
      <c r="D26" s="3" t="s">
        <v>69</v>
      </c>
      <c r="E26" s="3" t="s">
        <v>80</v>
      </c>
      <c r="F26" s="3" t="s">
        <v>58</v>
      </c>
      <c r="G26" s="3">
        <v>1</v>
      </c>
      <c r="H26" s="3">
        <v>1</v>
      </c>
      <c r="I26" s="3" t="s">
        <v>29</v>
      </c>
      <c r="J26" s="3" t="s">
        <v>34</v>
      </c>
      <c r="K26" s="3">
        <v>0.84</v>
      </c>
      <c r="L26" s="3">
        <f>K26*100/G26</f>
        <v>84</v>
      </c>
      <c r="M26" s="4"/>
      <c r="N26" s="4"/>
    </row>
    <row r="27" spans="1:14" x14ac:dyDescent="0.3">
      <c r="A27" s="3">
        <v>25</v>
      </c>
      <c r="B27" s="3" t="s">
        <v>15</v>
      </c>
      <c r="C27" s="3" t="s">
        <v>81</v>
      </c>
      <c r="D27" s="3" t="s">
        <v>82</v>
      </c>
      <c r="E27" s="3" t="s">
        <v>83</v>
      </c>
      <c r="F27" s="3" t="s">
        <v>58</v>
      </c>
      <c r="G27" s="3">
        <v>2</v>
      </c>
      <c r="H27" s="3">
        <v>2</v>
      </c>
      <c r="I27" s="3" t="s">
        <v>29</v>
      </c>
      <c r="J27" s="3" t="s">
        <v>34</v>
      </c>
      <c r="K27" s="3">
        <v>0</v>
      </c>
      <c r="L27" s="3">
        <f>K27*100/G27</f>
        <v>0</v>
      </c>
      <c r="M27" s="4"/>
      <c r="N27" s="4"/>
    </row>
    <row r="30" spans="1:14" x14ac:dyDescent="0.3">
      <c r="A30" s="1" t="s">
        <v>136</v>
      </c>
      <c r="B30" s="1"/>
      <c r="C30" s="1"/>
      <c r="D30" s="1"/>
      <c r="E30" s="1"/>
      <c r="F30" s="1"/>
      <c r="G30" s="1"/>
      <c r="H30" s="1"/>
      <c r="I30" s="1"/>
    </row>
    <row r="31" spans="1:14" x14ac:dyDescent="0.3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8</v>
      </c>
      <c r="H31" s="2" t="s">
        <v>125</v>
      </c>
      <c r="I31" s="2" t="s">
        <v>9</v>
      </c>
    </row>
    <row r="32" spans="1:14" x14ac:dyDescent="0.3">
      <c r="A32" s="3">
        <v>1</v>
      </c>
      <c r="B32" s="3" t="s">
        <v>15</v>
      </c>
      <c r="C32" s="3" t="s">
        <v>137</v>
      </c>
      <c r="D32" s="3" t="s">
        <v>17</v>
      </c>
      <c r="E32" s="3" t="s">
        <v>138</v>
      </c>
      <c r="F32" s="3" t="s">
        <v>19</v>
      </c>
      <c r="G32" s="3">
        <v>0.5</v>
      </c>
      <c r="H32" s="5">
        <f>SUM(G32:G37)</f>
        <v>4.8</v>
      </c>
      <c r="I32" s="3" t="s">
        <v>20</v>
      </c>
    </row>
    <row r="33" spans="1:9" x14ac:dyDescent="0.3">
      <c r="A33" s="3">
        <v>2</v>
      </c>
      <c r="B33" s="3" t="s">
        <v>15</v>
      </c>
      <c r="C33" s="3" t="s">
        <v>139</v>
      </c>
      <c r="D33" s="3" t="s">
        <v>17</v>
      </c>
      <c r="E33" s="3" t="s">
        <v>140</v>
      </c>
      <c r="F33" s="3" t="s">
        <v>19</v>
      </c>
      <c r="G33" s="3">
        <v>0.5</v>
      </c>
      <c r="H33" s="5"/>
      <c r="I33" s="3" t="s">
        <v>20</v>
      </c>
    </row>
    <row r="34" spans="1:9" x14ac:dyDescent="0.3">
      <c r="A34" s="3">
        <v>3</v>
      </c>
      <c r="B34" s="3" t="s">
        <v>15</v>
      </c>
      <c r="C34" s="3" t="s">
        <v>32</v>
      </c>
      <c r="D34" s="3" t="s">
        <v>17</v>
      </c>
      <c r="E34" s="3" t="s">
        <v>33</v>
      </c>
      <c r="F34" s="3" t="s">
        <v>19</v>
      </c>
      <c r="G34" s="3"/>
      <c r="H34" s="5"/>
      <c r="I34" s="3" t="s">
        <v>20</v>
      </c>
    </row>
    <row r="35" spans="1:9" x14ac:dyDescent="0.3">
      <c r="A35" s="3">
        <v>4</v>
      </c>
      <c r="B35" s="3" t="s">
        <v>15</v>
      </c>
      <c r="C35" s="3" t="s">
        <v>141</v>
      </c>
      <c r="D35" s="3" t="s">
        <v>142</v>
      </c>
      <c r="E35" s="3" t="s">
        <v>143</v>
      </c>
      <c r="F35" s="3" t="s">
        <v>19</v>
      </c>
      <c r="G35" s="3">
        <v>0.66</v>
      </c>
      <c r="H35" s="5"/>
      <c r="I35" s="3" t="s">
        <v>20</v>
      </c>
    </row>
    <row r="36" spans="1:9" x14ac:dyDescent="0.3">
      <c r="A36" s="3">
        <v>5</v>
      </c>
      <c r="B36" s="3" t="s">
        <v>15</v>
      </c>
      <c r="C36" s="3" t="s">
        <v>165</v>
      </c>
      <c r="D36" s="3" t="s">
        <v>121</v>
      </c>
      <c r="E36" s="3" t="s">
        <v>166</v>
      </c>
      <c r="F36" s="3" t="s">
        <v>19</v>
      </c>
      <c r="G36" s="3">
        <v>2</v>
      </c>
      <c r="H36" s="5"/>
      <c r="I36" s="3" t="s">
        <v>29</v>
      </c>
    </row>
    <row r="37" spans="1:9" x14ac:dyDescent="0.3">
      <c r="A37" s="3">
        <v>6</v>
      </c>
      <c r="B37" s="3" t="s">
        <v>15</v>
      </c>
      <c r="C37" s="3" t="s">
        <v>144</v>
      </c>
      <c r="D37" s="3" t="s">
        <v>23</v>
      </c>
      <c r="E37" s="3" t="s">
        <v>145</v>
      </c>
      <c r="F37" s="3" t="s">
        <v>19</v>
      </c>
      <c r="G37" s="3">
        <v>1.1399999999999999</v>
      </c>
      <c r="H37" s="5"/>
      <c r="I37" s="3" t="s">
        <v>29</v>
      </c>
    </row>
    <row r="38" spans="1:9" x14ac:dyDescent="0.3">
      <c r="A38" s="3">
        <v>7</v>
      </c>
      <c r="B38" s="3" t="s">
        <v>15</v>
      </c>
      <c r="C38" s="3" t="s">
        <v>146</v>
      </c>
      <c r="D38" s="3" t="s">
        <v>147</v>
      </c>
      <c r="E38" s="3" t="s">
        <v>148</v>
      </c>
      <c r="F38" s="3" t="s">
        <v>38</v>
      </c>
      <c r="G38" s="3">
        <v>0.75</v>
      </c>
      <c r="H38" s="5">
        <f>SUM(G38:G45)</f>
        <v>6.04</v>
      </c>
      <c r="I38" s="3" t="s">
        <v>20</v>
      </c>
    </row>
    <row r="39" spans="1:9" x14ac:dyDescent="0.3">
      <c r="A39" s="3">
        <v>8</v>
      </c>
      <c r="B39" s="3" t="s">
        <v>15</v>
      </c>
      <c r="C39" s="3" t="s">
        <v>53</v>
      </c>
      <c r="D39" s="3" t="s">
        <v>36</v>
      </c>
      <c r="E39" s="3" t="s">
        <v>54</v>
      </c>
      <c r="F39" s="3" t="s">
        <v>38</v>
      </c>
      <c r="G39" s="3">
        <v>0.89</v>
      </c>
      <c r="H39" s="5"/>
      <c r="I39" s="3" t="s">
        <v>20</v>
      </c>
    </row>
    <row r="40" spans="1:9" x14ac:dyDescent="0.3">
      <c r="A40" s="3">
        <v>9</v>
      </c>
      <c r="B40" s="3" t="s">
        <v>15</v>
      </c>
      <c r="C40" s="3" t="s">
        <v>149</v>
      </c>
      <c r="D40" s="3" t="s">
        <v>36</v>
      </c>
      <c r="E40" s="3" t="s">
        <v>150</v>
      </c>
      <c r="F40" s="3" t="s">
        <v>38</v>
      </c>
      <c r="G40" s="3">
        <v>1</v>
      </c>
      <c r="H40" s="5"/>
      <c r="I40" s="3" t="s">
        <v>29</v>
      </c>
    </row>
    <row r="41" spans="1:9" x14ac:dyDescent="0.3">
      <c r="A41" s="3">
        <v>10</v>
      </c>
      <c r="B41" s="3" t="s">
        <v>15</v>
      </c>
      <c r="C41" s="3" t="s">
        <v>151</v>
      </c>
      <c r="D41" s="3" t="s">
        <v>17</v>
      </c>
      <c r="E41" s="3" t="s">
        <v>152</v>
      </c>
      <c r="F41" s="3" t="s">
        <v>38</v>
      </c>
      <c r="G41" s="3">
        <v>0.5</v>
      </c>
      <c r="H41" s="5"/>
      <c r="I41" s="3" t="s">
        <v>29</v>
      </c>
    </row>
    <row r="42" spans="1:9" x14ac:dyDescent="0.3">
      <c r="A42" s="3">
        <v>11</v>
      </c>
      <c r="B42" s="3" t="s">
        <v>15</v>
      </c>
      <c r="C42" s="3" t="s">
        <v>153</v>
      </c>
      <c r="D42" s="3" t="s">
        <v>17</v>
      </c>
      <c r="E42" s="3" t="s">
        <v>154</v>
      </c>
      <c r="F42" s="3" t="s">
        <v>38</v>
      </c>
      <c r="G42" s="3">
        <v>1</v>
      </c>
      <c r="H42" s="5"/>
      <c r="I42" s="3" t="s">
        <v>29</v>
      </c>
    </row>
    <row r="43" spans="1:9" x14ac:dyDescent="0.3">
      <c r="A43" s="3">
        <v>12</v>
      </c>
      <c r="B43" s="3" t="s">
        <v>15</v>
      </c>
      <c r="C43" s="3" t="s">
        <v>49</v>
      </c>
      <c r="D43" s="3" t="s">
        <v>17</v>
      </c>
      <c r="E43" s="3" t="s">
        <v>50</v>
      </c>
      <c r="F43" s="3" t="s">
        <v>38</v>
      </c>
      <c r="G43" s="3">
        <v>0.59</v>
      </c>
      <c r="H43" s="5"/>
      <c r="I43" s="3" t="s">
        <v>29</v>
      </c>
    </row>
    <row r="44" spans="1:9" x14ac:dyDescent="0.3">
      <c r="A44" s="3">
        <v>13</v>
      </c>
      <c r="B44" s="3" t="s">
        <v>15</v>
      </c>
      <c r="C44" s="3" t="s">
        <v>51</v>
      </c>
      <c r="D44" s="3" t="s">
        <v>17</v>
      </c>
      <c r="E44" s="3" t="s">
        <v>52</v>
      </c>
      <c r="F44" s="3" t="s">
        <v>38</v>
      </c>
      <c r="G44" s="3">
        <v>0.31</v>
      </c>
      <c r="H44" s="5"/>
      <c r="I44" s="3" t="s">
        <v>20</v>
      </c>
    </row>
    <row r="45" spans="1:9" x14ac:dyDescent="0.3">
      <c r="A45" s="3">
        <v>14</v>
      </c>
      <c r="B45" s="3" t="s">
        <v>15</v>
      </c>
      <c r="C45" s="3" t="s">
        <v>155</v>
      </c>
      <c r="D45" s="3" t="s">
        <v>17</v>
      </c>
      <c r="E45" s="3" t="s">
        <v>156</v>
      </c>
      <c r="F45" s="3" t="s">
        <v>38</v>
      </c>
      <c r="G45" s="3">
        <v>1</v>
      </c>
      <c r="H45" s="5"/>
      <c r="I45" s="3" t="s">
        <v>20</v>
      </c>
    </row>
    <row r="46" spans="1:9" x14ac:dyDescent="0.3">
      <c r="A46" s="3">
        <v>15</v>
      </c>
      <c r="B46" s="3" t="s">
        <v>15</v>
      </c>
      <c r="C46" s="3" t="s">
        <v>79</v>
      </c>
      <c r="D46" s="3" t="s">
        <v>69</v>
      </c>
      <c r="E46" s="3" t="s">
        <v>80</v>
      </c>
      <c r="F46" s="3" t="s">
        <v>58</v>
      </c>
      <c r="G46" s="3">
        <v>0.16</v>
      </c>
      <c r="H46" s="5">
        <f>SUM(G46:G55)</f>
        <v>8.4</v>
      </c>
      <c r="I46" s="3" t="s">
        <v>29</v>
      </c>
    </row>
    <row r="47" spans="1:9" x14ac:dyDescent="0.3">
      <c r="A47" s="3">
        <v>16</v>
      </c>
      <c r="B47" s="3" t="s">
        <v>15</v>
      </c>
      <c r="C47" s="3" t="s">
        <v>77</v>
      </c>
      <c r="D47" s="3" t="s">
        <v>56</v>
      </c>
      <c r="E47" s="3" t="s">
        <v>78</v>
      </c>
      <c r="F47" s="3" t="s">
        <v>58</v>
      </c>
      <c r="G47" s="3"/>
      <c r="H47" s="5"/>
      <c r="I47" s="3" t="s">
        <v>20</v>
      </c>
    </row>
    <row r="48" spans="1:9" x14ac:dyDescent="0.3">
      <c r="A48" s="3">
        <v>17</v>
      </c>
      <c r="B48" s="3" t="s">
        <v>15</v>
      </c>
      <c r="C48" s="3" t="s">
        <v>71</v>
      </c>
      <c r="D48" s="3" t="s">
        <v>64</v>
      </c>
      <c r="E48" s="3" t="s">
        <v>72</v>
      </c>
      <c r="F48" s="3" t="s">
        <v>58</v>
      </c>
      <c r="G48" s="3">
        <v>0.74</v>
      </c>
      <c r="H48" s="5"/>
      <c r="I48" s="3" t="s">
        <v>29</v>
      </c>
    </row>
    <row r="49" spans="1:9" x14ac:dyDescent="0.3">
      <c r="A49" s="3">
        <v>18</v>
      </c>
      <c r="B49" s="3" t="s">
        <v>15</v>
      </c>
      <c r="C49" s="3" t="s">
        <v>73</v>
      </c>
      <c r="D49" s="3" t="s">
        <v>64</v>
      </c>
      <c r="E49" s="3" t="s">
        <v>74</v>
      </c>
      <c r="F49" s="3" t="s">
        <v>58</v>
      </c>
      <c r="G49" s="3">
        <v>0.5</v>
      </c>
      <c r="H49" s="5"/>
      <c r="I49" s="3" t="s">
        <v>20</v>
      </c>
    </row>
    <row r="50" spans="1:9" x14ac:dyDescent="0.3">
      <c r="A50" s="3">
        <v>19</v>
      </c>
      <c r="B50" s="3" t="s">
        <v>15</v>
      </c>
      <c r="C50" s="3" t="s">
        <v>75</v>
      </c>
      <c r="D50" s="3" t="s">
        <v>64</v>
      </c>
      <c r="E50" s="3" t="s">
        <v>76</v>
      </c>
      <c r="F50" s="3" t="s">
        <v>58</v>
      </c>
      <c r="G50" s="3">
        <v>0.5</v>
      </c>
      <c r="H50" s="5"/>
      <c r="I50" s="3" t="s">
        <v>29</v>
      </c>
    </row>
    <row r="51" spans="1:9" x14ac:dyDescent="0.3">
      <c r="A51" s="3">
        <v>20</v>
      </c>
      <c r="B51" s="3" t="s">
        <v>15</v>
      </c>
      <c r="C51" s="3" t="s">
        <v>81</v>
      </c>
      <c r="D51" s="3" t="s">
        <v>82</v>
      </c>
      <c r="E51" s="3" t="s">
        <v>83</v>
      </c>
      <c r="F51" s="3" t="s">
        <v>58</v>
      </c>
      <c r="G51" s="3">
        <v>2</v>
      </c>
      <c r="H51" s="5"/>
      <c r="I51" s="3" t="s">
        <v>29</v>
      </c>
    </row>
    <row r="52" spans="1:9" x14ac:dyDescent="0.3">
      <c r="A52" s="3">
        <v>21</v>
      </c>
      <c r="B52" s="3" t="s">
        <v>15</v>
      </c>
      <c r="C52" s="3" t="s">
        <v>157</v>
      </c>
      <c r="D52" s="3" t="s">
        <v>69</v>
      </c>
      <c r="E52" s="3" t="s">
        <v>158</v>
      </c>
      <c r="F52" s="3" t="s">
        <v>58</v>
      </c>
      <c r="G52" s="3">
        <v>2</v>
      </c>
      <c r="H52" s="5"/>
      <c r="I52" s="3" t="s">
        <v>20</v>
      </c>
    </row>
    <row r="53" spans="1:9" x14ac:dyDescent="0.3">
      <c r="A53" s="3">
        <v>22</v>
      </c>
      <c r="B53" s="3" t="s">
        <v>15</v>
      </c>
      <c r="C53" s="3" t="s">
        <v>159</v>
      </c>
      <c r="D53" s="3" t="s">
        <v>56</v>
      </c>
      <c r="E53" s="3" t="s">
        <v>160</v>
      </c>
      <c r="F53" s="3" t="s">
        <v>58</v>
      </c>
      <c r="G53" s="3">
        <v>1</v>
      </c>
      <c r="H53" s="5"/>
      <c r="I53" s="3" t="s">
        <v>29</v>
      </c>
    </row>
    <row r="54" spans="1:9" x14ac:dyDescent="0.3">
      <c r="A54" s="3">
        <v>23</v>
      </c>
      <c r="B54" s="3" t="s">
        <v>15</v>
      </c>
      <c r="C54" s="3" t="s">
        <v>161</v>
      </c>
      <c r="D54" s="3" t="s">
        <v>56</v>
      </c>
      <c r="E54" s="3" t="s">
        <v>162</v>
      </c>
      <c r="F54" s="3" t="s">
        <v>58</v>
      </c>
      <c r="G54" s="3">
        <v>0.75</v>
      </c>
      <c r="H54" s="5"/>
      <c r="I54" s="3" t="s">
        <v>29</v>
      </c>
    </row>
    <row r="55" spans="1:9" x14ac:dyDescent="0.3">
      <c r="A55" s="3">
        <v>24</v>
      </c>
      <c r="B55" s="3" t="s">
        <v>15</v>
      </c>
      <c r="C55" s="3" t="s">
        <v>163</v>
      </c>
      <c r="D55" s="3" t="s">
        <v>64</v>
      </c>
      <c r="E55" s="3" t="s">
        <v>164</v>
      </c>
      <c r="F55" s="3" t="s">
        <v>58</v>
      </c>
      <c r="G55" s="3">
        <v>0.75</v>
      </c>
      <c r="H55" s="5"/>
      <c r="I55" s="3" t="s">
        <v>29</v>
      </c>
    </row>
  </sheetData>
  <mergeCells count="11">
    <mergeCell ref="A30:I30"/>
    <mergeCell ref="H32:H37"/>
    <mergeCell ref="H38:H45"/>
    <mergeCell ref="H46:H55"/>
    <mergeCell ref="A1:N1"/>
    <mergeCell ref="M3:M8"/>
    <mergeCell ref="N3:N8"/>
    <mergeCell ref="M9:M16"/>
    <mergeCell ref="N9:N16"/>
    <mergeCell ref="M17:M27"/>
    <mergeCell ref="N17:N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opLeftCell="A7" workbookViewId="0">
      <selection activeCell="A20" sqref="A20:I21"/>
    </sheetView>
  </sheetViews>
  <sheetFormatPr defaultRowHeight="14.4" x14ac:dyDescent="0.3"/>
  <sheetData>
    <row r="1" spans="1:14" x14ac:dyDescent="0.3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3">
      <c r="A3" s="3">
        <v>1</v>
      </c>
      <c r="B3" s="3" t="s">
        <v>84</v>
      </c>
      <c r="C3" s="3" t="s">
        <v>85</v>
      </c>
      <c r="D3" s="3" t="s">
        <v>86</v>
      </c>
      <c r="E3" s="3" t="s">
        <v>87</v>
      </c>
      <c r="F3" s="3" t="s">
        <v>88</v>
      </c>
      <c r="G3" s="3">
        <v>8</v>
      </c>
      <c r="H3" s="3">
        <v>5.21</v>
      </c>
      <c r="I3" s="3" t="s">
        <v>29</v>
      </c>
      <c r="J3" s="3" t="s">
        <v>21</v>
      </c>
      <c r="K3" s="3">
        <v>3.18</v>
      </c>
      <c r="L3" s="3">
        <f>K3*100/G3</f>
        <v>39.75</v>
      </c>
      <c r="M3" s="4">
        <f>SUM(H3)/SUM(H3:H6)</f>
        <v>0.46476360392506688</v>
      </c>
      <c r="N3" s="4">
        <f>SUM(K3)/SUM(H3)</f>
        <v>0.61036468330134364</v>
      </c>
    </row>
    <row r="4" spans="1:14" x14ac:dyDescent="0.3">
      <c r="A4" s="3">
        <v>2</v>
      </c>
      <c r="B4" s="3" t="s">
        <v>84</v>
      </c>
      <c r="C4" s="3" t="s">
        <v>89</v>
      </c>
      <c r="D4" s="3" t="s">
        <v>23</v>
      </c>
      <c r="E4" s="3" t="s">
        <v>90</v>
      </c>
      <c r="F4" s="3" t="s">
        <v>88</v>
      </c>
      <c r="G4" s="3">
        <v>2</v>
      </c>
      <c r="H4" s="3">
        <v>2</v>
      </c>
      <c r="I4" s="3" t="s">
        <v>29</v>
      </c>
      <c r="J4" s="3" t="s">
        <v>34</v>
      </c>
      <c r="K4" s="3">
        <v>0</v>
      </c>
      <c r="L4" s="3">
        <f>K4*100/G4</f>
        <v>0</v>
      </c>
      <c r="M4" s="4"/>
      <c r="N4" s="4"/>
    </row>
    <row r="5" spans="1:14" x14ac:dyDescent="0.3">
      <c r="A5" s="3">
        <v>3</v>
      </c>
      <c r="B5" s="3" t="s">
        <v>84</v>
      </c>
      <c r="C5" s="3" t="s">
        <v>91</v>
      </c>
      <c r="D5" s="3" t="s">
        <v>23</v>
      </c>
      <c r="E5" s="3" t="s">
        <v>92</v>
      </c>
      <c r="F5" s="3" t="s">
        <v>88</v>
      </c>
      <c r="G5" s="3">
        <v>1</v>
      </c>
      <c r="H5" s="3"/>
      <c r="I5" s="3" t="s">
        <v>20</v>
      </c>
      <c r="J5" s="3" t="s">
        <v>34</v>
      </c>
      <c r="K5" s="3">
        <v>0</v>
      </c>
      <c r="L5" s="3">
        <f>K5*100/G5</f>
        <v>0</v>
      </c>
      <c r="M5" s="4"/>
      <c r="N5" s="4"/>
    </row>
    <row r="6" spans="1:14" x14ac:dyDescent="0.3">
      <c r="A6" s="3">
        <v>4</v>
      </c>
      <c r="B6" s="3" t="s">
        <v>84</v>
      </c>
      <c r="C6" s="3" t="s">
        <v>93</v>
      </c>
      <c r="D6" s="3" t="s">
        <v>94</v>
      </c>
      <c r="E6" s="3" t="s">
        <v>95</v>
      </c>
      <c r="F6" s="3" t="s">
        <v>88</v>
      </c>
      <c r="G6" s="3">
        <v>4</v>
      </c>
      <c r="H6" s="3">
        <v>4</v>
      </c>
      <c r="I6" s="3" t="s">
        <v>29</v>
      </c>
      <c r="J6" s="3" t="s">
        <v>34</v>
      </c>
      <c r="K6" s="3"/>
      <c r="L6" s="3">
        <f>K6*100/G6</f>
        <v>0</v>
      </c>
      <c r="M6" s="4"/>
      <c r="N6" s="4"/>
    </row>
    <row r="7" spans="1:14" x14ac:dyDescent="0.3">
      <c r="A7" s="3">
        <v>5</v>
      </c>
      <c r="B7" s="3" t="s">
        <v>84</v>
      </c>
      <c r="C7" s="3" t="s">
        <v>96</v>
      </c>
      <c r="D7" s="3" t="s">
        <v>97</v>
      </c>
      <c r="E7" s="3" t="s">
        <v>98</v>
      </c>
      <c r="F7" s="3" t="s">
        <v>99</v>
      </c>
      <c r="G7" s="3">
        <v>0.5</v>
      </c>
      <c r="H7" s="3">
        <v>0.5</v>
      </c>
      <c r="I7" s="3" t="s">
        <v>29</v>
      </c>
      <c r="J7" s="3" t="s">
        <v>60</v>
      </c>
      <c r="K7" s="3">
        <v>0.41</v>
      </c>
      <c r="L7" s="3">
        <f>K7*100/G7</f>
        <v>82</v>
      </c>
      <c r="M7" s="4">
        <f>SUM(H7:H15)/SUM(H7:H17)</f>
        <v>0.84711388455538217</v>
      </c>
      <c r="N7" s="4">
        <f>SUM(K7:K15)/SUM(H7:H15)</f>
        <v>1</v>
      </c>
    </row>
    <row r="8" spans="1:14" x14ac:dyDescent="0.3">
      <c r="A8" s="3">
        <v>6</v>
      </c>
      <c r="B8" s="3" t="s">
        <v>84</v>
      </c>
      <c r="C8" s="3" t="s">
        <v>100</v>
      </c>
      <c r="D8" s="3" t="s">
        <v>97</v>
      </c>
      <c r="E8" s="3" t="s">
        <v>101</v>
      </c>
      <c r="F8" s="3" t="s">
        <v>99</v>
      </c>
      <c r="G8" s="3">
        <v>0.75</v>
      </c>
      <c r="H8" s="3">
        <v>0.43</v>
      </c>
      <c r="I8" s="3" t="s">
        <v>20</v>
      </c>
      <c r="J8" s="3" t="s">
        <v>60</v>
      </c>
      <c r="K8" s="3">
        <v>0.36</v>
      </c>
      <c r="L8" s="3">
        <f>K8*100/G8</f>
        <v>48</v>
      </c>
      <c r="M8" s="4"/>
      <c r="N8" s="4"/>
    </row>
    <row r="9" spans="1:14" x14ac:dyDescent="0.3">
      <c r="A9" s="3">
        <v>7</v>
      </c>
      <c r="B9" s="3" t="s">
        <v>84</v>
      </c>
      <c r="C9" s="3" t="s">
        <v>102</v>
      </c>
      <c r="D9" s="3" t="s">
        <v>97</v>
      </c>
      <c r="E9" s="3" t="s">
        <v>103</v>
      </c>
      <c r="F9" s="3" t="s">
        <v>99</v>
      </c>
      <c r="G9" s="3">
        <v>0.5</v>
      </c>
      <c r="H9" s="3">
        <v>0.5</v>
      </c>
      <c r="I9" s="3" t="s">
        <v>29</v>
      </c>
      <c r="J9" s="3" t="s">
        <v>60</v>
      </c>
      <c r="K9" s="3">
        <v>0.56999999999999995</v>
      </c>
      <c r="L9" s="3">
        <f>K9*100/G9</f>
        <v>113.99999999999999</v>
      </c>
      <c r="M9" s="4"/>
      <c r="N9" s="4"/>
    </row>
    <row r="10" spans="1:14" x14ac:dyDescent="0.3">
      <c r="A10" s="3">
        <v>8</v>
      </c>
      <c r="B10" s="3" t="s">
        <v>84</v>
      </c>
      <c r="C10" s="3" t="s">
        <v>104</v>
      </c>
      <c r="D10" s="3" t="s">
        <v>97</v>
      </c>
      <c r="E10" s="3" t="s">
        <v>105</v>
      </c>
      <c r="F10" s="3" t="s">
        <v>99</v>
      </c>
      <c r="G10" s="3">
        <v>0.5</v>
      </c>
      <c r="H10" s="3">
        <v>0.5</v>
      </c>
      <c r="I10" s="3" t="s">
        <v>29</v>
      </c>
      <c r="J10" s="3" t="s">
        <v>60</v>
      </c>
      <c r="K10" s="3">
        <v>0.53</v>
      </c>
      <c r="L10" s="3">
        <f>K10*100/G10</f>
        <v>106</v>
      </c>
      <c r="M10" s="4"/>
      <c r="N10" s="4"/>
    </row>
    <row r="11" spans="1:14" x14ac:dyDescent="0.3">
      <c r="A11" s="3">
        <v>9</v>
      </c>
      <c r="B11" s="3" t="s">
        <v>84</v>
      </c>
      <c r="C11" s="3" t="s">
        <v>106</v>
      </c>
      <c r="D11" s="3" t="s">
        <v>107</v>
      </c>
      <c r="E11" s="3" t="s">
        <v>108</v>
      </c>
      <c r="F11" s="3" t="s">
        <v>99</v>
      </c>
      <c r="G11" s="3">
        <v>0.25</v>
      </c>
      <c r="H11" s="3">
        <v>0.25</v>
      </c>
      <c r="I11" s="3" t="s">
        <v>20</v>
      </c>
      <c r="J11" s="3" t="s">
        <v>39</v>
      </c>
      <c r="K11" s="3">
        <v>0.25</v>
      </c>
      <c r="L11" s="3">
        <f>K11*100/G11</f>
        <v>100</v>
      </c>
      <c r="M11" s="4"/>
      <c r="N11" s="4"/>
    </row>
    <row r="12" spans="1:14" x14ac:dyDescent="0.3">
      <c r="A12" s="3">
        <v>10</v>
      </c>
      <c r="B12" s="3" t="s">
        <v>84</v>
      </c>
      <c r="C12" s="3" t="s">
        <v>109</v>
      </c>
      <c r="D12" s="3" t="s">
        <v>110</v>
      </c>
      <c r="E12" s="3" t="s">
        <v>111</v>
      </c>
      <c r="F12" s="3" t="s">
        <v>99</v>
      </c>
      <c r="G12" s="3">
        <v>0.75</v>
      </c>
      <c r="H12" s="3">
        <v>0.75</v>
      </c>
      <c r="I12" s="3" t="s">
        <v>20</v>
      </c>
      <c r="J12" s="3" t="s">
        <v>39</v>
      </c>
      <c r="K12" s="3">
        <v>0.72</v>
      </c>
      <c r="L12" s="3">
        <f>K12*100/G12</f>
        <v>96</v>
      </c>
      <c r="M12" s="4"/>
      <c r="N12" s="4"/>
    </row>
    <row r="13" spans="1:14" x14ac:dyDescent="0.3">
      <c r="A13" s="3">
        <v>11</v>
      </c>
      <c r="B13" s="3" t="s">
        <v>84</v>
      </c>
      <c r="C13" s="3" t="s">
        <v>112</v>
      </c>
      <c r="D13" s="3" t="s">
        <v>23</v>
      </c>
      <c r="E13" s="3" t="s">
        <v>113</v>
      </c>
      <c r="F13" s="3" t="s">
        <v>99</v>
      </c>
      <c r="G13" s="3">
        <v>0.25</v>
      </c>
      <c r="H13" s="3">
        <v>0.25</v>
      </c>
      <c r="I13" s="3" t="s">
        <v>59</v>
      </c>
      <c r="J13" s="3" t="s">
        <v>39</v>
      </c>
      <c r="K13" s="3">
        <v>0.21</v>
      </c>
      <c r="L13" s="3">
        <f>K13*100/G13</f>
        <v>84</v>
      </c>
      <c r="M13" s="4"/>
      <c r="N13" s="4"/>
    </row>
    <row r="14" spans="1:14" x14ac:dyDescent="0.3">
      <c r="A14" s="3">
        <v>12</v>
      </c>
      <c r="B14" s="3" t="s">
        <v>84</v>
      </c>
      <c r="C14" s="3" t="s">
        <v>114</v>
      </c>
      <c r="D14" s="3" t="s">
        <v>115</v>
      </c>
      <c r="E14" s="3" t="s">
        <v>116</v>
      </c>
      <c r="F14" s="3" t="s">
        <v>99</v>
      </c>
      <c r="G14" s="3">
        <v>1.5</v>
      </c>
      <c r="H14" s="3">
        <v>1.5</v>
      </c>
      <c r="I14" s="3" t="s">
        <v>29</v>
      </c>
      <c r="J14" s="3" t="s">
        <v>21</v>
      </c>
      <c r="K14" s="3">
        <v>1.58</v>
      </c>
      <c r="L14" s="3">
        <f>K14*100/G14</f>
        <v>105.33333333333333</v>
      </c>
      <c r="M14" s="4"/>
      <c r="N14" s="4"/>
    </row>
    <row r="15" spans="1:14" x14ac:dyDescent="0.3">
      <c r="A15" s="3">
        <v>13</v>
      </c>
      <c r="B15" s="3" t="s">
        <v>84</v>
      </c>
      <c r="C15" s="3" t="s">
        <v>117</v>
      </c>
      <c r="D15" s="3" t="s">
        <v>118</v>
      </c>
      <c r="E15" s="3" t="s">
        <v>119</v>
      </c>
      <c r="F15" s="3" t="s">
        <v>99</v>
      </c>
      <c r="G15" s="3">
        <v>0.75</v>
      </c>
      <c r="H15" s="3">
        <v>0.75</v>
      </c>
      <c r="I15" s="3" t="s">
        <v>29</v>
      </c>
      <c r="J15" s="3" t="s">
        <v>21</v>
      </c>
      <c r="K15" s="3">
        <v>0.8</v>
      </c>
      <c r="L15" s="3">
        <f>K15*100/G15</f>
        <v>106.66666666666667</v>
      </c>
      <c r="M15" s="4"/>
      <c r="N15" s="4"/>
    </row>
    <row r="16" spans="1:14" x14ac:dyDescent="0.3">
      <c r="A16" s="3">
        <v>14</v>
      </c>
      <c r="B16" s="3" t="s">
        <v>84</v>
      </c>
      <c r="C16" s="3" t="s">
        <v>120</v>
      </c>
      <c r="D16" s="3" t="s">
        <v>121</v>
      </c>
      <c r="E16" s="3" t="s">
        <v>122</v>
      </c>
      <c r="F16" s="3" t="s">
        <v>99</v>
      </c>
      <c r="G16" s="3">
        <v>0.75</v>
      </c>
      <c r="H16" s="3"/>
      <c r="I16" s="3" t="s">
        <v>29</v>
      </c>
      <c r="J16" s="3" t="s">
        <v>34</v>
      </c>
      <c r="K16" s="3">
        <v>0</v>
      </c>
      <c r="L16" s="3">
        <f>K16*100/G16</f>
        <v>0</v>
      </c>
      <c r="M16" s="4"/>
      <c r="N16" s="4"/>
    </row>
    <row r="17" spans="1:14" x14ac:dyDescent="0.3">
      <c r="A17" s="3">
        <v>15</v>
      </c>
      <c r="B17" s="3" t="s">
        <v>84</v>
      </c>
      <c r="C17" s="3" t="s">
        <v>123</v>
      </c>
      <c r="D17" s="3" t="s">
        <v>121</v>
      </c>
      <c r="E17" s="3" t="s">
        <v>124</v>
      </c>
      <c r="F17" s="3" t="s">
        <v>99</v>
      </c>
      <c r="G17" s="3">
        <v>1.5</v>
      </c>
      <c r="H17" s="3">
        <v>0.98</v>
      </c>
      <c r="I17" s="3" t="s">
        <v>29</v>
      </c>
      <c r="J17" s="3" t="s">
        <v>34</v>
      </c>
      <c r="K17" s="3">
        <v>0</v>
      </c>
      <c r="L17" s="3">
        <f>K17*100/G17</f>
        <v>0</v>
      </c>
      <c r="M17" s="4"/>
      <c r="N17" s="4"/>
    </row>
    <row r="20" spans="1:14" x14ac:dyDescent="0.3">
      <c r="A20" s="1" t="s">
        <v>135</v>
      </c>
      <c r="B20" s="1"/>
      <c r="C20" s="1"/>
      <c r="D20" s="1"/>
      <c r="E20" s="1"/>
      <c r="F20" s="1"/>
      <c r="G20" s="1"/>
      <c r="H20" s="1"/>
      <c r="I20" s="1"/>
      <c r="J20" s="6"/>
      <c r="K20" s="6"/>
      <c r="L20" s="6"/>
      <c r="M20" s="6"/>
      <c r="N20" s="6"/>
    </row>
    <row r="21" spans="1:14" x14ac:dyDescent="0.3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8</v>
      </c>
      <c r="H21" s="2" t="s">
        <v>125</v>
      </c>
      <c r="I21" s="2" t="s">
        <v>9</v>
      </c>
    </row>
    <row r="22" spans="1:14" x14ac:dyDescent="0.3">
      <c r="A22" s="3">
        <v>1</v>
      </c>
      <c r="B22" s="3" t="s">
        <v>84</v>
      </c>
      <c r="C22" s="3" t="s">
        <v>93</v>
      </c>
      <c r="D22" s="3" t="s">
        <v>94</v>
      </c>
      <c r="E22" s="3" t="s">
        <v>95</v>
      </c>
      <c r="F22" s="3" t="s">
        <v>88</v>
      </c>
      <c r="G22" s="3">
        <v>1.77</v>
      </c>
      <c r="H22" s="5">
        <f>SUM(G22:G23)</f>
        <v>7.77</v>
      </c>
      <c r="I22" s="3" t="s">
        <v>29</v>
      </c>
    </row>
    <row r="23" spans="1:14" x14ac:dyDescent="0.3">
      <c r="A23" s="3">
        <v>2</v>
      </c>
      <c r="B23" s="3" t="s">
        <v>84</v>
      </c>
      <c r="C23" s="3" t="s">
        <v>126</v>
      </c>
      <c r="D23" s="3" t="s">
        <v>86</v>
      </c>
      <c r="E23" s="3" t="s">
        <v>127</v>
      </c>
      <c r="F23" s="3" t="s">
        <v>88</v>
      </c>
      <c r="G23" s="3">
        <v>6</v>
      </c>
      <c r="H23" s="5"/>
      <c r="I23" s="3" t="s">
        <v>29</v>
      </c>
    </row>
    <row r="24" spans="1:14" x14ac:dyDescent="0.3">
      <c r="A24" s="3">
        <v>3</v>
      </c>
      <c r="B24" s="3" t="s">
        <v>84</v>
      </c>
      <c r="C24" s="3" t="s">
        <v>128</v>
      </c>
      <c r="D24" s="3" t="s">
        <v>118</v>
      </c>
      <c r="E24" s="3" t="s">
        <v>129</v>
      </c>
      <c r="F24" s="3" t="s">
        <v>99</v>
      </c>
      <c r="G24" s="3">
        <v>0.5</v>
      </c>
      <c r="H24" s="5">
        <f>SUM(G24:G28)</f>
        <v>5.98</v>
      </c>
      <c r="I24" s="3" t="s">
        <v>29</v>
      </c>
    </row>
    <row r="25" spans="1:14" x14ac:dyDescent="0.3">
      <c r="A25" s="3">
        <v>4</v>
      </c>
      <c r="B25" s="3" t="s">
        <v>84</v>
      </c>
      <c r="C25" s="3" t="s">
        <v>130</v>
      </c>
      <c r="D25" s="3" t="s">
        <v>97</v>
      </c>
      <c r="E25" s="3" t="s">
        <v>131</v>
      </c>
      <c r="F25" s="3" t="s">
        <v>99</v>
      </c>
      <c r="G25" s="3">
        <v>2.5</v>
      </c>
      <c r="H25" s="5"/>
      <c r="I25" s="3" t="s">
        <v>29</v>
      </c>
    </row>
    <row r="26" spans="1:14" x14ac:dyDescent="0.3">
      <c r="A26" s="3">
        <v>5</v>
      </c>
      <c r="B26" s="3" t="s">
        <v>84</v>
      </c>
      <c r="C26" s="3" t="s">
        <v>120</v>
      </c>
      <c r="D26" s="3" t="s">
        <v>121</v>
      </c>
      <c r="E26" s="3" t="s">
        <v>122</v>
      </c>
      <c r="F26" s="3" t="s">
        <v>99</v>
      </c>
      <c r="G26" s="3"/>
      <c r="H26" s="5"/>
      <c r="I26" s="3" t="s">
        <v>29</v>
      </c>
    </row>
    <row r="27" spans="1:14" x14ac:dyDescent="0.3">
      <c r="A27" s="3">
        <v>6</v>
      </c>
      <c r="B27" s="3" t="s">
        <v>84</v>
      </c>
      <c r="C27" s="3" t="s">
        <v>132</v>
      </c>
      <c r="D27" s="3" t="s">
        <v>121</v>
      </c>
      <c r="E27" s="3" t="s">
        <v>133</v>
      </c>
      <c r="F27" s="3" t="s">
        <v>99</v>
      </c>
      <c r="G27" s="3">
        <v>2</v>
      </c>
      <c r="H27" s="5"/>
      <c r="I27" s="3" t="s">
        <v>29</v>
      </c>
    </row>
    <row r="28" spans="1:14" x14ac:dyDescent="0.3">
      <c r="A28" s="3">
        <v>7</v>
      </c>
      <c r="B28" s="3" t="s">
        <v>84</v>
      </c>
      <c r="C28" s="3" t="s">
        <v>123</v>
      </c>
      <c r="D28" s="3" t="s">
        <v>121</v>
      </c>
      <c r="E28" s="3" t="s">
        <v>124</v>
      </c>
      <c r="F28" s="3" t="s">
        <v>99</v>
      </c>
      <c r="G28" s="3">
        <v>0.98</v>
      </c>
      <c r="H28" s="5"/>
      <c r="I28" s="3" t="s">
        <v>29</v>
      </c>
    </row>
  </sheetData>
  <mergeCells count="8">
    <mergeCell ref="H22:H23"/>
    <mergeCell ref="H24:H28"/>
    <mergeCell ref="A1:N1"/>
    <mergeCell ref="A20:I20"/>
    <mergeCell ref="M3:M6"/>
    <mergeCell ref="N3:N6"/>
    <mergeCell ref="M7:M17"/>
    <mergeCell ref="N7:N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Charlie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Teampro HR</dc:creator>
  <cp:lastModifiedBy>Teampro HR</cp:lastModifiedBy>
  <dcterms:created xsi:type="dcterms:W3CDTF">2026-08-19T09:06:07Z</dcterms:created>
  <dcterms:modified xsi:type="dcterms:W3CDTF">2026-08-19T09:11:20Z</dcterms:modified>
</cp:coreProperties>
</file>