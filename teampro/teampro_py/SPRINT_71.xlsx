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arsh\OneDrive\Documents\SPRINT\"/>
    </mc:Choice>
  </mc:AlternateContent>
  <bookViews>
    <workbookView xWindow="0" yWindow="0" windowWidth="23040" windowHeight="7824" activeTab="1"/>
  </bookViews>
  <sheets>
    <sheet name="Summary" sheetId="1" r:id="rId1"/>
    <sheet name="Master Sheet" sheetId="2" r:id="rId2"/>
    <sheet name="DE&amp;Reopen" sheetId="4" r:id="rId3"/>
    <sheet name="NT Tasks" sheetId="5" r:id="rId4"/>
    <sheet name="Meeting" sheetId="6" r:id="rId5"/>
    <sheet name="Sprint 72" sheetId="7" r:id="rId6"/>
  </sheets>
  <definedNames>
    <definedName name="_xlnm._FilterDatabase" localSheetId="2" hidden="1">'DE&amp;Reopen'!$A$1:$N$26</definedName>
    <definedName name="_xlnm._FilterDatabase" localSheetId="1" hidden="1">'Master Sheet'!$A$1:$AB$1</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 i="7" l="1"/>
  <c r="D5" i="7"/>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2" i="6"/>
  <c r="P8" i="1"/>
  <c r="N8" i="1"/>
  <c r="O8" i="1"/>
  <c r="Q8" i="1"/>
  <c r="M8" i="1"/>
  <c r="M7" i="1"/>
  <c r="L8" i="1"/>
  <c r="N7" i="1"/>
  <c r="Q7" i="1"/>
  <c r="P6" i="1"/>
  <c r="N6" i="1"/>
  <c r="O6" i="1"/>
  <c r="M6" i="1"/>
  <c r="Q6" i="1"/>
  <c r="L6" i="1"/>
  <c r="P7" i="1"/>
  <c r="O7" i="1"/>
  <c r="L7" i="1"/>
</calcChain>
</file>

<file path=xl/sharedStrings.xml><?xml version="1.0" encoding="utf-8"?>
<sst xmlns="http://schemas.openxmlformats.org/spreadsheetml/2006/main" count="3951" uniqueCount="1108">
  <si>
    <t>Sprint Summary</t>
  </si>
  <si>
    <t>S.No</t>
  </si>
  <si>
    <t>Team</t>
  </si>
  <si>
    <t>APH</t>
  </si>
  <si>
    <t>Plan</t>
  </si>
  <si>
    <t>Spot</t>
  </si>
  <si>
    <t>Total</t>
  </si>
  <si>
    <t>Planned RT</t>
  </si>
  <si>
    <t>Comp RT</t>
  </si>
  <si>
    <t>Work RT</t>
  </si>
  <si>
    <t>NT RT</t>
  </si>
  <si>
    <t>Spot RT</t>
  </si>
  <si>
    <t>Spot Comp RT</t>
  </si>
  <si>
    <t>Spot Work RT</t>
  </si>
  <si>
    <t>Spot NT RT</t>
  </si>
  <si>
    <t>Total RT</t>
  </si>
  <si>
    <t>Completed RT</t>
  </si>
  <si>
    <t>Completed AT</t>
  </si>
  <si>
    <t>Working RT</t>
  </si>
  <si>
    <t>Working AT</t>
  </si>
  <si>
    <t>Total NT Hours</t>
  </si>
  <si>
    <t>ALPHA</t>
  </si>
  <si>
    <t>DELTA</t>
  </si>
  <si>
    <t>BRAVO</t>
  </si>
  <si>
    <t>SPRINT 71</t>
  </si>
  <si>
    <t>Teamwise Summary</t>
  </si>
  <si>
    <t>PLAN</t>
  </si>
  <si>
    <t>SPOT</t>
  </si>
  <si>
    <t>NC</t>
  </si>
  <si>
    <t>REOPEN</t>
  </si>
  <si>
    <t>Developer Error</t>
  </si>
  <si>
    <t>CB</t>
  </si>
  <si>
    <t>Biometric Hrs</t>
  </si>
  <si>
    <t>AT</t>
  </si>
  <si>
    <t>RT of tasks have NC</t>
  </si>
  <si>
    <t>RT of tasks have Reopen</t>
  </si>
  <si>
    <t>RT of tasks have DE</t>
  </si>
  <si>
    <t>PS</t>
  </si>
  <si>
    <t>TBA</t>
  </si>
  <si>
    <t>GP</t>
  </si>
  <si>
    <t>MB</t>
  </si>
  <si>
    <t>Project</t>
  </si>
  <si>
    <t>Task</t>
  </si>
  <si>
    <t>Issue Type</t>
  </si>
  <si>
    <t>Subject</t>
  </si>
  <si>
    <t>Age</t>
  </si>
  <si>
    <t>KT Confirmed</t>
  </si>
  <si>
    <t>ET</t>
  </si>
  <si>
    <t>RT</t>
  </si>
  <si>
    <t>AT Period</t>
  </si>
  <si>
    <t>Status</t>
  </si>
  <si>
    <t>Priority</t>
  </si>
  <si>
    <t>AT/ET (%)</t>
  </si>
  <si>
    <t>RT/AT (%)</t>
  </si>
  <si>
    <t>Created On</t>
  </si>
  <si>
    <t>Production Date</t>
  </si>
  <si>
    <t>Cr Status</t>
  </si>
  <si>
    <t>Explanation</t>
  </si>
  <si>
    <t>Spot Task</t>
  </si>
  <si>
    <t>Previous Sprint</t>
  </si>
  <si>
    <t>Allocated to</t>
  </si>
  <si>
    <t>Revisions</t>
  </si>
  <si>
    <t>ET Vs AT Remarks</t>
  </si>
  <si>
    <t>Remarks</t>
  </si>
  <si>
    <t>Action Taken</t>
  </si>
  <si>
    <t>JOBPRO</t>
  </si>
  <si>
    <t>TS23439</t>
  </si>
  <si>
    <t>User Requirement</t>
  </si>
  <si>
    <t>Need to install frappe in local and setup Jobpro</t>
  </si>
  <si>
    <t>Working</t>
  </si>
  <si>
    <t>Low</t>
  </si>
  <si>
    <t>gifty.p@groupteampro.com</t>
  </si>
  <si>
    <t>Today Allocated</t>
  </si>
  <si>
    <t>ELECTRA_ERP_07.06.2021</t>
  </si>
  <si>
    <t>TS23376</t>
  </si>
  <si>
    <t>DeveloperÂ Error</t>
  </si>
  <si>
    <t>Product Search throwing error has to be rectified by coordinating with Norden IT team.</t>
  </si>
  <si>
    <t>High</t>
  </si>
  <si>
    <t>Escalated to API</t>
  </si>
  <si>
    <t>TS23371</t>
  </si>
  <si>
    <t>Meeting</t>
  </si>
  <si>
    <t>Need to connect with Mr. Subin</t>
  </si>
  <si>
    <t>Medium</t>
  </si>
  <si>
    <t>Client Review</t>
  </si>
  <si>
    <t>Meeting was completed at 7:20, forgot to stop timesheet and it was stopped around 2 am</t>
  </si>
  <si>
    <t>Mail sent to the client</t>
  </si>
  <si>
    <t xml:space="preserve">1) Over Delivery validation in DN/SI:
Solution 1 â€” Split the Sales Order line first 
Sales Order â€” split into 2 lines:
Row Item Qty
1 ITEM-A 60
2 ITEM-A 40
Delivery Note â€” each row links to a different SO line:
Row Item Qty SO Ref
1 ITEM-A 60 SO-001/Row 1
2 ITEM-A 40 SO-001/Row 2
Now 60 â‰¤ 60 and 40 â‰¤ 40 â†’ submits cleanly.
Solution 2 â€” Configure an Over Delivery Allowance (only if business permits overrun)
Stock Settings â†’ Over Delivery/Receipt Allowance = 10%
Now the same DN with 110 against an SO of 100:
Overflow = 10%
Allowance = 10%
10% â‰¤ 10% â†’ submits with a warning.
Solution 3 â€” Assign a ""Role Allowed to Over Deliver/Receive""
Stock Settings â†’ Role Allowed to Over Deliver/Receive = ""Stock Manager""
Users with that role get a warning instead of a hard block â€” they can proceed after acknowledging.
2) Item Price issue in Quotation - We have tested the scenario, two major root cause for this one is No Item Price record against selected Price List for the Item. Another one is around 250 items are having 2 to 3 duplicate entries. Further if this item raised, we will connect immediately and check over call.
3) </t>
  </si>
  <si>
    <t>TS23370</t>
  </si>
  <si>
    <t>Last year receivable / payable comparison sheet to be shared.Last matched Opening Receivable/Payable to be shared by TEAMPRO</t>
  </si>
  <si>
    <t>Opening Balance of 2024 zip file has been attached and will share it to the client.</t>
  </si>
  <si>
    <t>Shaher_ERP_15.10.2024</t>
  </si>
  <si>
    <t>TS23036</t>
  </si>
  <si>
    <t>During the submission of the Leave Application and Rejoining Form, the Leave Balance should be calculated and updated based on the Leave App</t>
  </si>
  <si>
    <t>Took extra time in checking the existing code</t>
  </si>
  <si>
    <t>1) Leave Balance has been corrected in the Employee MIS and Leave Application html view and also cross checked the leave history updating from the Leave Application to Employee. LOP days deduction has been included in the Annual Leave Balance :LOP days in the current allocation period,  LOP Deduction days= LOP Days * (Monthly Rate/ 30)
                Current Allocation= Current Allocation - LOP Deduction days</t>
  </si>
  <si>
    <t>TS22973</t>
  </si>
  <si>
    <t>Need to check and update the Leave Balance Issue</t>
  </si>
  <si>
    <t>Completed</t>
  </si>
  <si>
    <t>Took extra time in updating the conditions</t>
  </si>
  <si>
    <t>Leave Balance has been corrected.</t>
  </si>
  <si>
    <t>TS22960</t>
  </si>
  <si>
    <t>New User Requirement</t>
  </si>
  <si>
    <t>Communications between system and the user through whatsapp</t>
  </si>
  <si>
    <t>Not taken</t>
  </si>
  <si>
    <t>Internal ERP - TEAMPRO V15</t>
  </si>
  <si>
    <t>TS22687</t>
  </si>
  <si>
    <t>Need to Update AI based Rating for Lead validation</t>
  </si>
  <si>
    <t>Pending Review</t>
  </si>
  <si>
    <t>Took extra time to correct the prompt</t>
  </si>
  <si>
    <t xml:space="preserve">AI Based Lead validation has been updated based on the service in the Sales Follow Up Doctype:
Priority Method When Used
1st Company Website Visits the lead's website and reads the homepage + about page
2nd Google Search If no website or website can't be accessed, searches Google for the company name
3rd Contacts Only If both fail, scores using only ERP data + remark
Rating Scale
70â€“100 Hot Strong potential â€” the lead has clear needs matching TEAMPRO services - Contact immediately
40â€“69 Warm Moderate potential â€” some signals but not conclusive Schedule follow-up with targeted approach
0â€“39 Cold Low potential â€” little or no fit for the service Deprioritize or add to nurture list
Qualification
â‰¥ 60 Yes Lead meets the minimum threshold for sales pursuit
&lt; 60 No Lead does not meet the qualification threshold
</t>
  </si>
  <si>
    <t>Project Library</t>
  </si>
  <si>
    <t>TS23404</t>
  </si>
  <si>
    <t>Internal Reference</t>
  </si>
  <si>
    <t>Frappe installation</t>
  </si>
  <si>
    <t>meraklin.b@groupteampro.com</t>
  </si>
  <si>
    <t>Takes time to clear issues while installing ubuntu</t>
  </si>
  <si>
    <t>Evaluation pending by ps</t>
  </si>
  <si>
    <t>Installed successfully WSL, Frappe, create site, get apps, install apps</t>
  </si>
  <si>
    <t>Shaya Polymers_HRPRO_21.11.25</t>
  </si>
  <si>
    <t>TS23444</t>
  </si>
  <si>
    <t>Training for user - Manikandan</t>
  </si>
  <si>
    <t>pavithra.s@groupteampro.com</t>
  </si>
  <si>
    <t xml:space="preserve">Explained the documents ,consumed extra time </t>
  </si>
  <si>
    <t>Explained the below documents to the user:
Employee
On duty application
Attendance Permission
Expense Claim
Holiday List
Mark Attendance
Leave Application
Miss punch application
Attendance Summary
Employee Advance
Compensatory Leave Request
Weekly report
MeetLog</t>
  </si>
  <si>
    <t>TS23432</t>
  </si>
  <si>
    <t>New Scenario</t>
  </si>
  <si>
    <t>VAT coming wrong in po - LPO 510</t>
  </si>
  <si>
    <t>Cross checked based on the grand total and tax consumed more time</t>
  </si>
  <si>
    <t>Explained the conditions for the tax table based on the net and actual to client</t>
  </si>
  <si>
    <t>Galfar_PMS_12.03.26</t>
  </si>
  <si>
    <t>TS23362</t>
  </si>
  <si>
    <t>While updating the assessor via appraisal settings error coming</t>
  </si>
  <si>
    <t>Time consumed on other tasks and worked on live issue supports</t>
  </si>
  <si>
    <t>TS22975</t>
  </si>
  <si>
    <t>Need to connect the Meeting with Piyus sir to review the Opening Balance</t>
  </si>
  <si>
    <t xml:space="preserve"> in balance sheet for creditors account having mismatch but in GL coming properly, cross checking that consumed more time</t>
  </si>
  <si>
    <t>Connected with piyush sir and discussed the opening balance upload now, as of now the in balance sheet for creditors account having mismatch but in GL coming properly need to check that for that another task is created - TS23577</t>
  </si>
  <si>
    <t>TS22927</t>
  </si>
  <si>
    <t>they have around 43 documents to be implemented in ERP in which only 9 documents are available, need to bring the remaining documents.each d</t>
  </si>
  <si>
    <t>TS22924</t>
  </si>
  <si>
    <t>After rejoining, leave should be made zero, there should be no existing balance.</t>
  </si>
  <si>
    <t>Completed - TS23036</t>
  </si>
  <si>
    <t>TS22915</t>
  </si>
  <si>
    <t>Customer KT</t>
  </si>
  <si>
    <t>In case of bank balance, want to know below from system.Cheque prepared but not yet given to Vendor's with related details like cheque date,</t>
  </si>
  <si>
    <t>TS22914</t>
  </si>
  <si>
    <t xml:space="preserve"> In all documents, both foreign currency and local currency should be available in case of dealing with foreign vendors and customers.</t>
  </si>
  <si>
    <t>TS22912</t>
  </si>
  <si>
    <t>VAT Reports to be verified for Alpha with the help of Ali sir, once reviewed and accepted same will be reflected in other companies.</t>
  </si>
  <si>
    <t>cross checked  for 2 months on all 4 reports consumed extra time</t>
  </si>
  <si>
    <t>Checked the VAT report - zero rated , Input tax, std sales and vat summary and shared the data for this year to the client via mail</t>
  </si>
  <si>
    <t>TS22909</t>
  </si>
  <si>
    <t>Financial Audit dashboard - should have a drill down feature to get into details.</t>
  </si>
  <si>
    <t>TS22908</t>
  </si>
  <si>
    <t>Amal and Shaher opening balance is getting reviewed and coordinating with team directly.</t>
  </si>
  <si>
    <t>TS21967, TS22034, TS22397 - completed in this task.</t>
  </si>
  <si>
    <t>TS22907</t>
  </si>
  <si>
    <t>Need to upload the Opening balance</t>
  </si>
  <si>
    <t>TS21967, TS22034, TS22397, TS19776, TS22972 - completed in this task.</t>
  </si>
  <si>
    <t>TS22906</t>
  </si>
  <si>
    <t>there is a mismatch in Profit and Loss Report - that to be checked.</t>
  </si>
  <si>
    <t>Open</t>
  </si>
  <si>
    <t>TS22904</t>
  </si>
  <si>
    <t>Need training on Imprest entry for multiple employee on Bank entry</t>
  </si>
  <si>
    <t>JGB_ERP_Implementation_30/05/25</t>
  </si>
  <si>
    <t>TS22839</t>
  </si>
  <si>
    <t>Already paid amount from leave applications Â not updated in salary slip, full amount coming. Applications already linked to JV , but th</t>
  </si>
  <si>
    <t>After creating the leave deduction salary,cross checked for the application covering 2 month period consumed extra time</t>
  </si>
  <si>
    <t>Today Taken Task</t>
  </si>
  <si>
    <t xml:space="preserve">Previously the Additional salaries for the employees are created for the type Pay Now in the leave application, now updated the old additional salaried for the employees and also here after during submission itself it'll be updated </t>
  </si>
  <si>
    <t>TS21932</t>
  </si>
  <si>
    <t>Need to update the Finance Audit Dashboard to include checks for Accounts Payable (currently it is showing only Creditors) and Cash Balanc</t>
  </si>
  <si>
    <t>Finance Audit Dashboard has been duplicated to include checks for Accounts Payable (currently it is showing only Creditors) and Cash Balance.
Added  the description in the Benfords Law (Fraud deduction) section
Removed the links
Need to check the values - completed.</t>
  </si>
  <si>
    <t>TEN Version 1</t>
  </si>
  <si>
    <t>TS20095</t>
  </si>
  <si>
    <t>Need to create app for salespro</t>
  </si>
  <si>
    <t>TS19134</t>
  </si>
  <si>
    <t>Need to create the Accounting Flow video</t>
  </si>
  <si>
    <t>Taihan_ERP_01.10.2024</t>
  </si>
  <si>
    <t>TS23417</t>
  </si>
  <si>
    <t>In Batch ID wise Tracking Report,For Stranding and Jacketing need Inner Layer 1, Inner Layer 2, Inner Layer 3 column.Need to add shift for a</t>
  </si>
  <si>
    <t>bhuvaneswari.a@groupteampro.com</t>
  </si>
  <si>
    <t>Data taken based on Inner Layer take time</t>
  </si>
  <si>
    <t>In Batch ID wise Tracking Report, Inner Layer1, Inner layer 2, Inner layer 3 column was added for Stranding and jacketing. Based on Inner layer selected in job card data will came.  Shift added for all columns.</t>
  </si>
  <si>
    <t>TS23409</t>
  </si>
  <si>
    <t>JOBPRO Setup in Local Enviroment</t>
  </si>
  <si>
    <t>Today allocated task</t>
  </si>
  <si>
    <t>TS23406</t>
  </si>
  <si>
    <t>Frappe Local was installed in my system</t>
  </si>
  <si>
    <t>TS22264</t>
  </si>
  <si>
    <t>For item WTR-MMR-000007, stock has been added in both ERP and Zoho, resulting in the quantity being reflected twice. As per the balance on 3</t>
  </si>
  <si>
    <t>To find duplicate entries take time and while correcting this many errors came for solving that take time</t>
  </si>
  <si>
    <t>Informed to client. she will check once and update</t>
  </si>
  <si>
    <t>For Item WTR-MMR-000007 stock balance was corrected. now 31/05/2026 balance is 420 as per zoho.</t>
  </si>
  <si>
    <t>TS22263</t>
  </si>
  <si>
    <t>For item WTR-MMR-000004, the balance quantity as of 31/05/2026 is 410. Out of this, 6 items have been damaged. The inventory quantity should</t>
  </si>
  <si>
    <t>Explain this point to client. After confirmation i will change entries</t>
  </si>
  <si>
    <t>TS21148</t>
  </si>
  <si>
    <t>Need to check and correct expense accounts</t>
  </si>
  <si>
    <t>For Accounts Matching API Sir connect with Client</t>
  </si>
  <si>
    <t>TS23416</t>
  </si>
  <si>
    <t>In Batch ID wise Report, In buffering, remove Tube ID column.In Stranding, Need Inner Layer 1, Inner Layer 2, Inner Layer 3 column. After Sa</t>
  </si>
  <si>
    <t>In Batch ID wise Report, 
1. Buffering Sheet, Tube ID column was removed.
2. In Stranding, inner Layer 1, Inner Layer 2, Inner Layer 3 column was added after cable type. Customer PO number column was added after sales order. OPT Remarks column changed as Quality Remarks.
3. In Jacketing, inner Layer 1, Inner Layer 2, Inner Layer 3 column was added after cable type. Customer PO number column was added after sales order. Set no column was after LOT no. ODTR length column changed as OTDR Length</t>
  </si>
  <si>
    <t>TS23487</t>
  </si>
  <si>
    <t>Password Reset Manager</t>
  </si>
  <si>
    <t>cross checked the tables and child table tried to create from devin, that consumed excess time, then craeted manually</t>
  </si>
  <si>
    <t>In user added a tab named password monitor which have the tables for password change, in the the user can able to give password and update. Another table to track the changes done from appraisal settings, third table other issues will be entered by the user manuallly</t>
  </si>
  <si>
    <t>TS23508</t>
  </si>
  <si>
    <t>Last 90 days server downtime report should be prepared along with root cause to be shared for both server level and with AWS.</t>
  </si>
  <si>
    <t>Downtime Report Server for the last 90 days has been prepared and will be shared to the client</t>
  </si>
  <si>
    <t>TS23368</t>
  </si>
  <si>
    <t>Share a detailed training utility video for Bank, Stock ,Payment Reconciliation Process in ERP.</t>
  </si>
  <si>
    <t>Took extra time in Bank Reconciliation Documentation</t>
  </si>
  <si>
    <t xml:space="preserve">"1)Stock Reconciliation - http://13.234.40.9/app/stock-reconciliation-manual or you can check the same in the Stock Workspace
2)Payment Reconciliation - http://13.234.40.9/app/payment-reconciliation-manual or you can check the same in the Accounting Workspace
3)Bank Reconciliation - http://13.234.40.9/app/bank-reconciliation-manual or you can check the same in the Accounting Workspace. Currently, Bank and Bank Accounts records have not been created in the Electra ERP. Once these records are created, the corresponding transactions will be displayed in the Bank Reconciliation Tool based on the selected Bank Account and company"
</t>
  </si>
  <si>
    <t>TS23511</t>
  </si>
  <si>
    <t>Need to share a document on how accounting entries are getting made in Delivery note in present system in Electra.</t>
  </si>
  <si>
    <t>Delivery Note WIP accounting entries documentation has been prepared and shared to the client</t>
  </si>
  <si>
    <t>TS23509</t>
  </si>
  <si>
    <t>Server contingency plan has to be structured for on-premise hosting and shared to client.</t>
  </si>
  <si>
    <t>Took extra time in correcting the Alignment</t>
  </si>
  <si>
    <t>Server Contingency Plan for On-premise hosting has been prepared and will be shared to the client</t>
  </si>
  <si>
    <t>RANK_ERP_07.04.2025</t>
  </si>
  <si>
    <t>TS23512</t>
  </si>
  <si>
    <t>Meeting with ismail sir</t>
  </si>
  <si>
    <t>Connected with ismail sir and sent the discussed points as mail- attached as screenshot in proof</t>
  </si>
  <si>
    <t>TS23510</t>
  </si>
  <si>
    <t>Need to update the item SKU0524 as stock item</t>
  </si>
  <si>
    <t>SKU0524 - Disabled the item code and created new item SKU0551. Cancelled MR and PO related to the old code SKU0524 and created MR and PO with SKU0551 and approved.</t>
  </si>
  <si>
    <t>TS23256</t>
  </si>
  <si>
    <t>Not able to delete leave salary document</t>
  </si>
  <si>
    <t>Explained the user about the previous document already exists, now explained and deleted</t>
  </si>
  <si>
    <t>TS23191</t>
  </si>
  <si>
    <t>Need to check the stock balance for the items listed in the attached sheet.</t>
  </si>
  <si>
    <t>Comparing and correcting, Sheet balance and ERP balance take time</t>
  </si>
  <si>
    <t>Need to connect with client on Monday</t>
  </si>
  <si>
    <t>As checked some items are balance are missing. Now it has been corrected. But buffering, jacketing, stranding item balance still missing due to stock out while testing the manufacturing flow. Stock need to revert, after completion of testing.</t>
  </si>
  <si>
    <t>TS23524</t>
  </si>
  <si>
    <t>While cancel and amed the quotation 00579, cost is being duplicated and set as the rate. Need to check this</t>
  </si>
  <si>
    <t>Due to find the root cause take time</t>
  </si>
  <si>
    <t>In quotation 00579 cost duplicated and set in Rate column due to rate updated as per cost while changing currency and conversion rate. Now it has been corrected.</t>
  </si>
  <si>
    <t>TS23529</t>
  </si>
  <si>
    <t>Need to create users for the employees</t>
  </si>
  <si>
    <t>Created the user id for 4 employees mentioned below
Vishnu N
Rafique Alam Bora
Sindhu D
Thirumalairaj M</t>
  </si>
  <si>
    <t>TS23526</t>
  </si>
  <si>
    <t>Training</t>
  </si>
  <si>
    <t>Learn CRM Module</t>
  </si>
  <si>
    <t xml:space="preserve">Learned these topics 
lead management
opportunity
quotation
address and contact
customer and customer groups
reports and analytics
</t>
  </si>
  <si>
    <t>TS23525</t>
  </si>
  <si>
    <t>While make invoice from order SOJGBKSA2373, Order line item became double</t>
  </si>
  <si>
    <t>As discussed with client, they will share correct data. But not shared yet</t>
  </si>
  <si>
    <t>TS23521</t>
  </si>
  <si>
    <t xml:space="preserve">Need to check all 2025 Sales Order Delivered Quanity compare with zoho. </t>
  </si>
  <si>
    <t>Comparison with zoho and ERP take time</t>
  </si>
  <si>
    <t>Informed to client. She will check once and update</t>
  </si>
  <si>
    <t>In Sales order and Purchase Order, Delivered Quanity was updated as per zoho</t>
  </si>
  <si>
    <t>TS23534</t>
  </si>
  <si>
    <t>Need to check custom html block</t>
  </si>
  <si>
    <t>Urgent</t>
  </si>
  <si>
    <t>cross checked the appraisals and reverting back consumed more time, also the issues mentioned in the group resolved against the task</t>
  </si>
  <si>
    <t>Now updated the appraisals with the status Approved, but assessor score against the goals table not updated due to unit change, reset again to the status Pending for assessor, similary for the cases for the self score due to unit change</t>
  </si>
  <si>
    <t>TS23523</t>
  </si>
  <si>
    <t xml:space="preserve">Need to check the unit dashboard </t>
  </si>
  <si>
    <t>Now the dashboard is coming properly, the data also loading fine</t>
  </si>
  <si>
    <t>TS23433</t>
  </si>
  <si>
    <t>MR count is coming wrong in the workspace</t>
  </si>
  <si>
    <t xml:space="preserve">Explained the conditions present in the MR Pending status to client </t>
  </si>
  <si>
    <t>TS23531</t>
  </si>
  <si>
    <t>Letter head coming wrong in PI</t>
  </si>
  <si>
    <t>Takes time to identify the error</t>
  </si>
  <si>
    <t>Identified the error in letter head instead of alpha amal is there that's the error</t>
  </si>
  <si>
    <t>TS23527</t>
  </si>
  <si>
    <t>Need to create user and password for the mentioned employees</t>
  </si>
  <si>
    <t xml:space="preserve">Created the user and the password for the mentioned employees
Mohammed Shakil Kadarbhai Mansuri
Sudhirkumar Sahni
Ashraf Ali
Sameer Raza
Wahid Khan
MD Najir Hussain
Noor Aslam
Mohammad Rashid
Mohammad Sufiyan
Mohammad Abuzar
Ahmad Raja
Asiullah
Mohammad Sadiqe
Nagaraju Gummula
Samar jeet Chauhan
</t>
  </si>
  <si>
    <t>TS23530</t>
  </si>
  <si>
    <t>Updates in PI print</t>
  </si>
  <si>
    <t xml:space="preserve"> Removed Supplier Reference Number, Supplier Quotation Date
instead of this, need to update supplier delivery note and material request </t>
  </si>
  <si>
    <t>TS23532</t>
  </si>
  <si>
    <t>For the Journal entry, PI and SI - final approver should be selva sir</t>
  </si>
  <si>
    <t>Not confirmed this task yet after confirmation i will start to perform this task</t>
  </si>
  <si>
    <t>TS23533</t>
  </si>
  <si>
    <t>Taihan Meeting with arif sir - 04/08/2026</t>
  </si>
  <si>
    <t>Meeting Extended by client and create MOM take time</t>
  </si>
  <si>
    <t xml:space="preserve">For discussed point MOM was created. 
https://erp.teamproit.com/desk/meeting/taihan-meeting-05-08-26
</t>
  </si>
  <si>
    <t>TSA_US_Invoice_Mgmt_11/12/25</t>
  </si>
  <si>
    <t>TS23528</t>
  </si>
  <si>
    <t xml:space="preserve">Need to create login for supplier , admin and accounts users </t>
  </si>
  <si>
    <t>There is a none error due to the supplier not present and also a shipper number duplicated against the diff supplier this error consumed more time</t>
  </si>
  <si>
    <t xml:space="preserve">Created logins for the user and updated their permissions based on that user. Supplier shipped details documents not created due the none value in supplier that one cleared ,and the session timeout error came frequently, that one cleared by moving them to hourly long cron. </t>
  </si>
  <si>
    <t>TS22838</t>
  </si>
  <si>
    <t xml:space="preserve">In salary slip, the monthly expense able to add, but not able to remove. Need a provision to remove the claim </t>
  </si>
  <si>
    <t>Site disconnected take time</t>
  </si>
  <si>
    <t>PS will Connect with client for this point</t>
  </si>
  <si>
    <t>In Salary slip, monthly expense added using add unpaid claim button. If additional salary was cancelled, then monthly expenses component removed from Salary slip and expense claim status also reverted.</t>
  </si>
  <si>
    <t>TS23553</t>
  </si>
  <si>
    <t>Need HTML view for Sales Order and Purchase Order</t>
  </si>
  <si>
    <t>In Purchase Order Quanity was wrong for checking that take time</t>
  </si>
  <si>
    <t xml:space="preserve">In Sales Order Html view was created.
1. In Total PO qty, PO qty for that sales order of that item was taken.
2. Received Qty - PR Qty for that PO, 3. Balance to Receive - Remaining Quanity need to receive for PO, 4. SO Qty - Sales Order Qty, 5. How much qty delivered to customer, 6. Remaining Qty need to deliver for SO, 7. Physical Stock - current balance available, 8. Free stock - No reserved Stock and - available stock.
In Purchase Order html view,
1. SO Qty - Sales Order Qty, 2. How much qty delivered to customer, 3. Remaining Qty need to deliver for SO
These 3 column was added.
</t>
  </si>
  <si>
    <t>TS23551</t>
  </si>
  <si>
    <t>Need to check VAT Report</t>
  </si>
  <si>
    <t>CHecked the report as per the conditions given</t>
  </si>
  <si>
    <t>TS22433</t>
  </si>
  <si>
    <t>Need to create journals for the payroll based on the payroll set and the department, it must include the project and the cost center, the us</t>
  </si>
  <si>
    <t>cross checked the amount consumed more time</t>
  </si>
  <si>
    <t>Moved to PR today</t>
  </si>
  <si>
    <t xml:space="preserve">splited journals based on the payroll set,
after that splited amount based on department and project, the project will be marked along with their cost center
every department and project will have a separate line against an component
</t>
  </si>
  <si>
    <t>TS23559</t>
  </si>
  <si>
    <t>Learn HR Module</t>
  </si>
  <si>
    <t xml:space="preserve">Learned the hr module topics </t>
  </si>
  <si>
    <t>TS23556</t>
  </si>
  <si>
    <t>Need to share report regarding the appraisal details</t>
  </si>
  <si>
    <t>prepared 4 reports consumed more time than expected</t>
  </si>
  <si>
    <t>Prepared report for appraisals and assessor details and shared to client</t>
  </si>
  <si>
    <t>TS23555</t>
  </si>
  <si>
    <t>Not able to delete Sales Order SO 2915, SO 2572, 00006, SO 2768</t>
  </si>
  <si>
    <t>For checking what are the submitted entries present for this SO take time</t>
  </si>
  <si>
    <t>As checked for this so some delivery note and purchase order are created and that is in approved state so not able to delete. This has been informed to client</t>
  </si>
  <si>
    <t>TS23560</t>
  </si>
  <si>
    <t>In Purchase Order 482, VAT is wrong. Need to explain this to client</t>
  </si>
  <si>
    <t>Explained to client. but after that he had some doubt on same issue. To explaining this take time</t>
  </si>
  <si>
    <t>In Purchase Order calculation are correct. Only vat amount calculation was explained to client</t>
  </si>
  <si>
    <t>TS23562</t>
  </si>
  <si>
    <t>Need to include customer PO No in SI print</t>
  </si>
  <si>
    <t xml:space="preserve">Takes time to identify the po no </t>
  </si>
  <si>
    <t xml:space="preserve">Included the customer po no in the sales invoice print </t>
  </si>
  <si>
    <t>TS23563</t>
  </si>
  <si>
    <t>Need to update assessors, not able to update via appraisal settings</t>
  </si>
  <si>
    <t>connected with anil sir and checked the sheet with him to cross check the unit , in the same task consumed time</t>
  </si>
  <si>
    <t xml:space="preserve">Updated the assessor to the given employees for QHSE </t>
  </si>
  <si>
    <t>TS23564</t>
  </si>
  <si>
    <t>Not able to save Expense Claim JGB-CMN-EXP-2026-00154</t>
  </si>
  <si>
    <t>In Expense claim  JGB-CMN-EXP-2026-00154, decimal issue in employee advance for that only this issue came. now it has been corrected</t>
  </si>
  <si>
    <t>TS23567</t>
  </si>
  <si>
    <t>Need to move the track for appraisal updated only to the assessor and unit</t>
  </si>
  <si>
    <t>moved and cross checked in production consumed extra time</t>
  </si>
  <si>
    <t>Moved the password monitor to the production, but the tracking of appraisal updated only for assessor and unit</t>
  </si>
  <si>
    <t>TS23583</t>
  </si>
  <si>
    <t>Need to create HTML view in Sales Invoice</t>
  </si>
  <si>
    <t xml:space="preserve">In Sales Invoice profitability view was created. In this view Item wise sales ordered quanity and delivered quantity was taken. </t>
  </si>
  <si>
    <t>TS23579</t>
  </si>
  <si>
    <t xml:space="preserve">Need to create Appraisal Report </t>
  </si>
  <si>
    <t xml:space="preserve">Previously MB put timesheet against this task </t>
  </si>
  <si>
    <t>installation process completed</t>
  </si>
  <si>
    <t xml:space="preserve">Updated appraisal report in the _ Appraisal status report button, with 3 sheets -Overall, pending from assesse and asssessor.
</t>
  </si>
  <si>
    <t>TS23575</t>
  </si>
  <si>
    <t>In Batch Id wise Report,Buffering - customer PO number column need after sales orderIn Stranding customer PO number data not cameIn jacketin</t>
  </si>
  <si>
    <t>Site is slow to open and perform each process then also I forgot and switch on the timer so it takes more time.</t>
  </si>
  <si>
    <t>Evaluation pending by TBA</t>
  </si>
  <si>
    <t>checked the customer po number for the jacketing,buffering,stranding then checked the cable thickness for the jacketing For buffering no need to view cable type and inner layer field in both work order and job card.</t>
  </si>
  <si>
    <t>TS23577</t>
  </si>
  <si>
    <t>Balance Sheet having mismatch for the accounts creditors for the year 2025</t>
  </si>
  <si>
    <t>TS23580</t>
  </si>
  <si>
    <t>TSA US Meeting - 05/08</t>
  </si>
  <si>
    <t>meeting itself taken 1 hour after that MoM and task creation consumed more time</t>
  </si>
  <si>
    <t>Meeting completed MoM attached in the proof</t>
  </si>
  <si>
    <t>TS23578</t>
  </si>
  <si>
    <t>Need to change Work flow for PO, PI, PR, Payment Entry, SO, DN, SI</t>
  </si>
  <si>
    <t>Informed to DKB sir in MM.</t>
  </si>
  <si>
    <t>Workflow has been changed for the following documents
1. PO - Draft - Send to CEO - Submitted.
2. PI - Draft - Send to Accounts - Send to CEO - Submitted.
3. PR - Draft - Submitted
4. Payment Entry (Pay) - Draft - Send to CEO - Submitted
5. SO - Draft - Submitted
6. DN - Draft - Submitted
7. SI - Draft - Send to Accounts - Send to CEO - Submitted
8. Payment Entry (Receive) - Draft - Send to CEO - Submitted.
9. Leave Application - Draft - Send to HOD - Submitted
10. Expense claim - Draft - HOD - Accounts - CEO - Submitted
Purchase User role only create PO not able to move next state.</t>
  </si>
  <si>
    <t>TS23568</t>
  </si>
  <si>
    <t>While doing overproduction, Need one approval from Arif Sir. Without his approval don't allow to create material transfer and submit the doc</t>
  </si>
  <si>
    <t>After setting approval flow, it cause problem in partial production for that take time</t>
  </si>
  <si>
    <t>In Job Card, if overproduction is happen, then i give send for approval button for operator. Without approval not able to proceed further. After approval, we can create excess material transfer and then submit the job card.</t>
  </si>
  <si>
    <t>TS23570</t>
  </si>
  <si>
    <t>Batch Series currently for every month reset to 00001. But need to reset the count to 00001 for a year not for a month</t>
  </si>
  <si>
    <t>Today Allocated Task</t>
  </si>
  <si>
    <t>Currently i change the batch series counter increament based on year. But existing batches are not changed. For change existing batch series need to ask client</t>
  </si>
  <si>
    <t>TS23571</t>
  </si>
  <si>
    <t>In Stranding Overprodcution done, while create excess material transfer only one buffering line item came. If we produce 2 losse tube then t</t>
  </si>
  <si>
    <t>Site is slow for that take time</t>
  </si>
  <si>
    <t>In Job Card, For stranding while create excess material transfer if fiber count is 24 then two lines for buffering are came in stock entry.</t>
  </si>
  <si>
    <t>TS23572</t>
  </si>
  <si>
    <t>In job Card, partial production is done. If we do overproduction for the remaining qty then excess material transfer is qty wrong and not ab</t>
  </si>
  <si>
    <t>For correcting excess material transfer quantity take time</t>
  </si>
  <si>
    <t>In Job Card, partial production done. After then while doing production for remaining quantity, if overproduction happen, then quantity was corrected for excess material transfer. Completed quanity in popup for second half production was corrected.</t>
  </si>
  <si>
    <t>TS23573</t>
  </si>
  <si>
    <t>In Stranding material transfer, if i use buffering item 4000 from 12000 then batch balance reduced to 8000. but while we another excess mate</t>
  </si>
  <si>
    <t>Site is slow for 15 minutes take time</t>
  </si>
  <si>
    <t>In Job card, for stranding while create first material transfer i'll use some quantity. while creating excess material transfer default quanity came from batch. Now it has been corrected. After creating material transfer, while create excess material material transfer remaining quanity is came.</t>
  </si>
  <si>
    <t>TS23574</t>
  </si>
  <si>
    <t>In Batch ID wise tracking report, Â for buffering column one batch id is missing, while checking for batch ID 2608JA0004. Need to check this</t>
  </si>
  <si>
    <t>After taking all batch, duplicates are shown in buffering column for that take time</t>
  </si>
  <si>
    <t>In Batch Id wise tracking report, for buffering column only one batch Id shown when i apply filter for this. Now it has been corrected. while apply jacketing batch Id filter, for this jacekting we have two buffering ID is shown now.</t>
  </si>
  <si>
    <t>TS23581</t>
  </si>
  <si>
    <t>Need to check the attachments in Vehicle Master</t>
  </si>
  <si>
    <t>Need to connect with the client and informed the same in the group</t>
  </si>
  <si>
    <t>TS23582</t>
  </si>
  <si>
    <t xml:space="preserve">Need to cross check the salary component account set up </t>
  </si>
  <si>
    <t xml:space="preserve">There is a lot of correction while checking so it takes time to complete the task </t>
  </si>
  <si>
    <t>Half work completed need to do some changes</t>
  </si>
  <si>
    <t>checked and corrected the accounts and department details in salary component</t>
  </si>
  <si>
    <t>Norden_Datasheet_01.05.21</t>
  </si>
  <si>
    <t>TS23587</t>
  </si>
  <si>
    <t xml:space="preserve">General Ledger Report account was not matching with the given filter </t>
  </si>
  <si>
    <t>When I have checked against the filters, it is working fine and informed client to Generate New report or Rebuild to check again.</t>
  </si>
  <si>
    <t>TS23588</t>
  </si>
  <si>
    <t>Need to take video for Stock entry type manufacturing and add subtitles for that video</t>
  </si>
  <si>
    <t>Try to add subtitles take time</t>
  </si>
  <si>
    <t>Stock entry manufacture flow video was taken and shared with client.</t>
  </si>
  <si>
    <t>TS23377</t>
  </si>
  <si>
    <t>New Mobile App has to be generated and shared</t>
  </si>
  <si>
    <t>Mobile App .apk file has been generated.</t>
  </si>
  <si>
    <t>TS23592</t>
  </si>
  <si>
    <t>In Sales Invoice print take customer PO number from item table. If more than one customer po number is there then need to take all</t>
  </si>
  <si>
    <t xml:space="preserve">Takes time to check whether the value is correct </t>
  </si>
  <si>
    <t>Added the customer po number in sales invoice print</t>
  </si>
  <si>
    <t>TEAMPRO Website</t>
  </si>
  <si>
    <t>TS23603</t>
  </si>
  <si>
    <t>TFP Website alignment changes - About Us page</t>
  </si>
  <si>
    <t>while clicking team members button take all team members take time</t>
  </si>
  <si>
    <t xml:space="preserve">In about us page, Leadeship section was changed as https://astro.tfp.groupteampro.com/about-us this page.
Vision mission not changed. </t>
  </si>
  <si>
    <t>TS23597</t>
  </si>
  <si>
    <t>TFP Website alignment changes</t>
  </si>
  <si>
    <t>Norden_ERP_01.05.21</t>
  </si>
  <si>
    <t>TS23366</t>
  </si>
  <si>
    <t>Need to check the PR - PR-NCMEF-2025-00438-1</t>
  </si>
  <si>
    <t>Need to check with API</t>
  </si>
  <si>
    <t>TS23591</t>
  </si>
  <si>
    <t>Need to update the Unit and assessor for the users</t>
  </si>
  <si>
    <t>Updated the users with unit - All moved to draft and scores are cleared. Assessor, for approved documents move them to pending for assessor and then assessor score are reset against that, also in between client asked for appraisal report , prepared that</t>
  </si>
  <si>
    <t>TS23605</t>
  </si>
  <si>
    <t>Unable to Print Sales Invoice</t>
  </si>
  <si>
    <t>To correct the Letterhead in many invoices.</t>
  </si>
  <si>
    <t>Mail sent to the Informed in the group</t>
  </si>
  <si>
    <t>Client checked the Invoice which is in cancelled status</t>
  </si>
  <si>
    <t>TS23607</t>
  </si>
  <si>
    <t>Need to check the flow of accounting entries in Purchase</t>
  </si>
  <si>
    <t>As discussed with API, he told there is an Stock Entry but there is no Stock Entry creation in the PO-&gt;PI transaction, while checking it took extra time</t>
  </si>
  <si>
    <t>Accounting Entries in Purchase for Stock Item has been checked and it has been attached in the proof</t>
  </si>
  <si>
    <t>TS23589</t>
  </si>
  <si>
    <t>In user page, remove the roles present apart from the required roles.</t>
  </si>
  <si>
    <t>Updated role profile and added the cards for the mismatched and matched counts in the supplier page, also by default the supplier html page is set as the desktop and the login page, Added the role profile for the users admin , accountant and supplier</t>
  </si>
  <si>
    <t>TS23590</t>
  </si>
  <si>
    <t>for supplier need to hide the matched and mismatched details at top of invoice</t>
  </si>
  <si>
    <t>cross checked based on workflow consumed extra time</t>
  </si>
  <si>
    <t xml:space="preserve">Updated the workflow as ,
For matched invoices -&gt; Need to Set them in Waiting of approval and then on that day midnight itself auto update it to plex
if not matched -&gt;Status should be under processing till the user resolve that using the button
For supplier the matched and unmatched details will be hidden 
The resolved button will be hidden based once it's updated. also it'll not allowed to submit without resolving 
</t>
  </si>
  <si>
    <t>TS23604</t>
  </si>
  <si>
    <t>TSA US Meeting - 06/08</t>
  </si>
  <si>
    <t>Meeting connected with ALi sir and explained the part</t>
  </si>
  <si>
    <t>TS23599</t>
  </si>
  <si>
    <t>Total Amount Issue</t>
  </si>
  <si>
    <t>Took extra time in identifying the root cause</t>
  </si>
  <si>
    <t>It is due to the Project Budget Unit rate is not updating in Sales Order if the SO is in Draft, now it has been corrected.</t>
  </si>
  <si>
    <t>TS23609</t>
  </si>
  <si>
    <t>Job pro local setup</t>
  </si>
  <si>
    <t>Conducted test today so I can't perform this task</t>
  </si>
  <si>
    <t>TS23611</t>
  </si>
  <si>
    <t>Not able to create PR from LR503</t>
  </si>
  <si>
    <t>Not able to create PR from LR 503 due to warehouse not selected in Logistics Request. Now it has been added and PR was created. This has been informed to client</t>
  </si>
  <si>
    <t>TS23612</t>
  </si>
  <si>
    <t>HR training</t>
  </si>
  <si>
    <t>TS23623</t>
  </si>
  <si>
    <t>Need to update QHSE employees assessor and unit</t>
  </si>
  <si>
    <t>Updated the assessor and unit for the employees as attached for the employees</t>
  </si>
  <si>
    <t>TS23631</t>
  </si>
  <si>
    <t>Sprint Meeting - 7/8</t>
  </si>
  <si>
    <t xml:space="preserve">Meeting </t>
  </si>
  <si>
    <t>TS23576</t>
  </si>
  <si>
    <t>In workspace, For operator and Quality department only need to see Work order, Job card, Stock Entry, Batch Wise reports.</t>
  </si>
  <si>
    <t>Today's allocated task</t>
  </si>
  <si>
    <t>Only quality manager and operator department can view the workspace Manufacturing Operators in that they can view only job card, stock entry, work order, Batch ID Wise Report, Batch ID Wise Tracking, Batch Wise Balance History.</t>
  </si>
  <si>
    <t>TS23627</t>
  </si>
  <si>
    <t>Sprint Meeting - 07/08/26</t>
  </si>
  <si>
    <t>TS23636</t>
  </si>
  <si>
    <t>Need to check the Shaher Accounting Flow of Purchasing Stock Item</t>
  </si>
  <si>
    <t>TS23628</t>
  </si>
  <si>
    <t>Sprint Meeting - 7/8 - Alpha and Delta</t>
  </si>
  <si>
    <t>Meeting Completed</t>
  </si>
  <si>
    <t>TS23630</t>
  </si>
  <si>
    <t>Meeting consumed extra time</t>
  </si>
  <si>
    <t>Sprint meeting completed</t>
  </si>
  <si>
    <t>TS23640</t>
  </si>
  <si>
    <t>TFP Website Alignment change - Lillys page</t>
  </si>
  <si>
    <t>TS23650</t>
  </si>
  <si>
    <t>Need to disable the employee and their users given in the list</t>
  </si>
  <si>
    <t>Mentioned employees and their users are disabled now .</t>
  </si>
  <si>
    <t>TS23660</t>
  </si>
  <si>
    <t>Action button: Send to CEO is not showing</t>
  </si>
  <si>
    <t>It is due to Allow Self Approval Check Box is not enabled in the Workflow document of PO. Now it has been enabled for the Draft Transition and it is showing now.</t>
  </si>
  <si>
    <t>TS23661</t>
  </si>
  <si>
    <t>Need to exclude the Inactive employee appraisal count in the appraisal dashboard</t>
  </si>
  <si>
    <t>Updated the cards present in the appraisal dashboard based on the active status of the employee. Based on their active count only the card will be displayed also , while clicking the card, active only displayed</t>
  </si>
  <si>
    <t>TS23654</t>
  </si>
  <si>
    <t>Need to check CR tasks</t>
  </si>
  <si>
    <t>Checked the CR tasks consumed extra time</t>
  </si>
  <si>
    <t>Checked the PR and moved them to CR - Now PR (1), More than 80 CR previously present , now moved to completion - Now CR-17</t>
  </si>
  <si>
    <t>Alpha</t>
  </si>
  <si>
    <t>JA</t>
  </si>
  <si>
    <t>SM</t>
  </si>
  <si>
    <t>DR</t>
  </si>
  <si>
    <t>TS23443</t>
  </si>
  <si>
    <t>Internal issues</t>
  </si>
  <si>
    <t>Need to reset the system monitor-DKB sir room</t>
  </si>
  <si>
    <t>systems@groupteampro.com</t>
  </si>
  <si>
    <t>TS23396</t>
  </si>
  <si>
    <t xml:space="preserve">Need to check the monitor which not powering on  </t>
  </si>
  <si>
    <t>TS23278</t>
  </si>
  <si>
    <t xml:space="preserve">Need to paste the intercom number index in all telephones and shift the telephones 24 and 23  </t>
  </si>
  <si>
    <t>TS23468</t>
  </si>
  <si>
    <t>Need to verify the Leave Application workflow for one sample employee through the complete approval flow</t>
  </si>
  <si>
    <t>jeniba.a@groupteampro.com</t>
  </si>
  <si>
    <t>Today task</t>
  </si>
  <si>
    <t xml:space="preserve">Now the Leave Application workflow has been updated only for Amal Company with the following approval flow:
Employee â†’ Contractor Manager â†’ HR Coordinator â†’ General Manager â†’ Approved
</t>
  </si>
  <si>
    <t>TS23467</t>
  </si>
  <si>
    <t>Need to give the access for company : TeamPro Food Production to raise a PO in Karthick Login</t>
  </si>
  <si>
    <t>Now the access has been given.</t>
  </si>
  <si>
    <t>TS23466</t>
  </si>
  <si>
    <t xml:space="preserve"> Add an icon in the desktop page for BCS.</t>
  </si>
  <si>
    <t>Now the BCS Icon has been added , and informed to Keerthana Mam also.</t>
  </si>
  <si>
    <t>Hindustan Academy_ERP_06.11.2024</t>
  </si>
  <si>
    <t>TS23450</t>
  </si>
  <si>
    <t>Need to Check the leave ledger Report for the mention employee</t>
  </si>
  <si>
    <t>Due to support for Hindustan Client so , 5mins time extra taken.</t>
  </si>
  <si>
    <t>I have checked from our side , its Working Correctly. And informed to client also.</t>
  </si>
  <si>
    <t>TS23447</t>
  </si>
  <si>
    <t xml:space="preserve">When the Task Sourcing Status is changed in the Task, the updated value is not reflected in the Week Plan list. </t>
  </si>
  <si>
    <t>Previously, the top filters were applied in the REC doctype, so the updated SRC_S value did not match the top filter conditions and was not reflected. Now verified when the SRC_S value is changed that time it has been updated in the task and reflected properly in the REC doctype.</t>
  </si>
  <si>
    <t>TS23440</t>
  </si>
  <si>
    <t>Need to Create the Password for the mentioned Login</t>
  </si>
  <si>
    <t>Cancelled</t>
  </si>
  <si>
    <t>TS23393</t>
  </si>
  <si>
    <t>Need to Correct the Quotation alignment - QTN-2026-00099</t>
  </si>
  <si>
    <t xml:space="preserve">I need additionally 0.5 hr ET for the task TS23393 , the table header alignment has been corrected. However, after this change, the page alignment in the print format was affected and needs to be fixed. </t>
  </si>
  <si>
    <t>Now the print format has been updated.</t>
  </si>
  <si>
    <t>TS23363</t>
  </si>
  <si>
    <t>Set up the JobPro application in the local</t>
  </si>
  <si>
    <t>This task is not taken</t>
  </si>
  <si>
    <t>GPLAST HRPRO</t>
  </si>
  <si>
    <t>TS23275</t>
  </si>
  <si>
    <t>Create the new OT Report</t>
  </si>
  <si>
    <t>Support Electra task , so unable to Complete this task</t>
  </si>
  <si>
    <t>now the OT Report has been created. The details are fetched based on the data configured in the Department and Designation DocTypes. The data is retrieved from the Over Time DocType, and only approved Over Time records are considered. The OT data is displayed only when the Department and Designation in the Over Time Doc match the corresponding Department and Designation configured in the respective DocTypes.</t>
  </si>
  <si>
    <t>TS23183</t>
  </si>
  <si>
    <t>The expense claim paid but is outstanding show in Accounts Payable</t>
  </si>
  <si>
    <t>I need additionally 1.5 hr ET for the task TS23183 , due to check the data in Accounts payable report for 3 Employees
i need additionally 1.5 ET needed for the task TS23183 , need to cross check the Accounts Payable Report and the Payment Ledger Entry document.</t>
  </si>
  <si>
    <t>The account type was changed from Receivable to Payable, so some records were showing incorrect data in the Accounts Payable Report. Now this issue has been resolved, and the expense record is no not visible in the Accounts Payable Report.
A duplicate Payment Ledger Entry was created with some amount. Now this document has been marked as Delinked.</t>
  </si>
  <si>
    <t>TS23063</t>
  </si>
  <si>
    <t>Shaher KT from JM</t>
  </si>
  <si>
    <t>PS is Not available</t>
  </si>
  <si>
    <t>BY_Bill_Summary_18.06.2026</t>
  </si>
  <si>
    <t>TS22584</t>
  </si>
  <si>
    <t>JMI Offline Visit for BY Points and Bill Summary</t>
  </si>
  <si>
    <t>Client is not available.</t>
  </si>
  <si>
    <t>Johoku_01.07.2022</t>
  </si>
  <si>
    <t>TS22089</t>
  </si>
  <si>
    <t>F&amp;S Meeting 18/06 - Completed points and Bonus &amp; Gratuity</t>
  </si>
  <si>
    <t>DONGWOO HRPRO</t>
  </si>
  <si>
    <t>TS21057</t>
  </si>
  <si>
    <t>Unable to Submit the Attendance Request - Time Out Error</t>
  </si>
  <si>
    <t>I need an additional 1 hour of ET for the task TS21057 ,due to check the request timeout error.</t>
  </si>
  <si>
    <t>Using Devin and Zoo Code, the issue has been resolved.
Previously, during the Submit and Cancel actions, the same Attendance record was being updated more than four times. If Attendance processing occurred simultaneously, it resulted in this issue due to concurrent updates.
The code has now been updated to prevent multiple updates to the same Attendance record, and the issue has been resolved successfully.</t>
  </si>
  <si>
    <t>Infac_HRPRO_01.05.21</t>
  </si>
  <si>
    <t>TS23452</t>
  </si>
  <si>
    <t>S009 on duty application Superior pending, Can't able to approve by factory head</t>
  </si>
  <si>
    <t>sivarenisha.m@groupteampro.com</t>
  </si>
  <si>
    <t>Mail sent- 07/08</t>
  </si>
  <si>
    <t>Superior role was not assigned, so he was unable to approve the OD. The role has now been assigned.</t>
  </si>
  <si>
    <t>TSA_BLR_HRPRO_03/07/23</t>
  </si>
  <si>
    <t>TS23436</t>
  </si>
  <si>
    <t>While submit the salary slip of employee TSIS/S10099, it showing error</t>
  </si>
  <si>
    <t>.1 extra time</t>
  </si>
  <si>
    <t>The Salary Slip has now been submitted. The attendance was previously marked as Absent, so it has been regenerated. This has been informed to the client.</t>
  </si>
  <si>
    <t>TS23435</t>
  </si>
  <si>
    <t>Add the payroll date option in the NPD document to facilitate arrears processing</t>
  </si>
  <si>
    <t>Now, the Payroll Date NPD field has been added to the NPD document, and based on this the NPD amount will be reflected in the Salary Slip.</t>
  </si>
  <si>
    <t>TS23408</t>
  </si>
  <si>
    <t>Not able to submit the Journel Entry</t>
  </si>
  <si>
    <t>Explained to cleint, waiting for confirmation</t>
  </si>
  <si>
    <t>TS23336</t>
  </si>
  <si>
    <t>JobPro Setup in Local Environment and UI Review</t>
  </si>
  <si>
    <t>Not taken, worked client project tasks</t>
  </si>
  <si>
    <t>TS23331</t>
  </si>
  <si>
    <t>Need to create the Mark Attendance document</t>
  </si>
  <si>
    <t>Domain request sent to client</t>
  </si>
  <si>
    <t>MPL_HRPRO_02/06/21</t>
  </si>
  <si>
    <t>TS22295</t>
  </si>
  <si>
    <t>Leave application emails are not being triggered to the respective HODs for approval.</t>
  </si>
  <si>
    <t>Due to checked the Azure setup for generate app password and domain issue time taken</t>
  </si>
  <si>
    <t>Mail sent- 08/08</t>
  </si>
  <si>
    <t>Previously, the email account was configured with Microsoft, so the current version did not accept the previous setup. Now, it has been configured with Gmail, and the generated App Password has been added to the email account. Emails are now being sent.</t>
  </si>
  <si>
    <t>TS21900</t>
  </si>
  <si>
    <t>Need to get KT for ZKTBio CV Security</t>
  </si>
  <si>
    <t>Not taken, worked spot tasks</t>
  </si>
  <si>
    <t>TS21298</t>
  </si>
  <si>
    <t>Need to send the push notification for regsiter user in JOBPRO, when the new tasks are created</t>
  </si>
  <si>
    <t>TS23513</t>
  </si>
  <si>
    <t>Checking the all project Attendance based on Check list and send attendance report to TSA</t>
  </si>
  <si>
    <t>ACGC_Dashboard_21.11.25</t>
  </si>
  <si>
    <t>TS22865</t>
  </si>
  <si>
    <t>For Safety &amp; Health Operation andManagement &amp; Overview section data need to be take from Monthly Progress Data document</t>
  </si>
  <si>
    <t>While updating the Safety Casewise chart time consumed</t>
  </si>
  <si>
    <t>Mail sent to API sir</t>
  </si>
  <si>
    <t>Now the Safety &amp; Health Operation and Management &amp; Overview section data are reflecting based on data provided in the Monthly Prgress Data document.</t>
  </si>
  <si>
    <t>KBL_HRMS 2nd Phase_02.04.2025</t>
  </si>
  <si>
    <t>TS23453</t>
  </si>
  <si>
    <t>The attached Post Joining Documents to be updated on portal.</t>
  </si>
  <si>
    <t>In the Post Joining Documnets, now new format of NDA, ID Acknowledgment, Form 1 Payment of Wages Declaration, PF Form -II Revised are created and removed the Reporting Form, Checklist,Attendance Register, Employee ESI &amp; PF formats in that mail</t>
  </si>
  <si>
    <t>QPIC_ERP_10.04.22</t>
  </si>
  <si>
    <t>TS23358</t>
  </si>
  <si>
    <t>Updates in Technical Sheet - 28/7</t>
  </si>
  <si>
    <t xml:space="preserve">Due to checked multiple calculations time consumed </t>
  </si>
  <si>
    <t>GP need to connect with client</t>
  </si>
  <si>
    <t xml:space="preserve">1.Root cause: calculate_denier_calculation was rounding warp_denier to an integer (Math.round(warp_denier)) before storing it. The warp_mmt calculation (9000 * 1000 / denier * 1000) then used this rounded value (638), producing 14,106,583. Excel uses the raw unrounded denier (637.826...), producing 14,110,422.
2.Mesh value has calculeted same as Warp for Strip sections
3.Strip 1:The qty column should now calculate as: (dosage/100) * fabric_w_lamination_qty * (1 + wastage/100) * wt_ratio * (1 + wastage/100) and while update the Stirp /RE Width automatically calculate remainign filed values.
4.Width Factor previously taken from fabric type, now it has been updated based on Excel Fabric calculation.
The loom_width_factor field had "fetch_from": "fabric_type.width_factor", but the Fabric Type doctype has no width_factor field. The value was likely set manually or from old data. For TS-SB-2026-00092 with fabric_type = CRZZ, ERP shows loom_width_factor = 2.0, but Excel's CW_SB!H189 formula says CRZZ should have a width factor of 1.
Excel formula (CW_SB!H189):=IF(J23="FLAT",1, IF(J23="CRZZ",1, IF(J23="FLAT-3",3, IF(J23="FLAT-4",4, 2))))    
5.Technical Sheet Quantity Details are showing properly and the Qty previously not updated properly now corrected
</t>
  </si>
  <si>
    <t>TS23514</t>
  </si>
  <si>
    <t>Need to Submit the Material Transfer MAT-STE-2026-01099</t>
  </si>
  <si>
    <t>Now the Material Request has been Submitted.</t>
  </si>
  <si>
    <t>TS23516</t>
  </si>
  <si>
    <t>Shift Incentive showing wrong in salary slip employee id: S307</t>
  </si>
  <si>
    <t>For Shift Incentive Depends on Payment days has enabled, so that salary slip shows worng value. Now it has been corrected
Informed to client so marked as completed</t>
  </si>
  <si>
    <t>TS23517</t>
  </si>
  <si>
    <t>LIC premium deduction to be added in payslip for all staff &amp; worker</t>
  </si>
  <si>
    <t>Now the LIC salary component has added in Staff and worker Salary Slip</t>
  </si>
  <si>
    <t>TS23518</t>
  </si>
  <si>
    <t>TS23448</t>
  </si>
  <si>
    <t>The Finance Dashboard needs to be updated to include the following six tabs</t>
  </si>
  <si>
    <t>The Approvals, Transactions, Receivables, and Payables tabs have now been added to a single dashboard.
The alignment has been corrected.
When a tab is selected, only the active tab is highlighted, while the remaining tabs are displayed in black.</t>
  </si>
  <si>
    <t>TS23522</t>
  </si>
  <si>
    <t>The target achieved for BCS has not been added to the Target Manager list</t>
  </si>
  <si>
    <t>Due to checked the flow and identifying the root cause time consumed</t>
  </si>
  <si>
    <t>Informed in group</t>
  </si>
  <si>
    <t xml:space="preserve">Due to the Test Fiscal Year 2026 being created, it did not match with the Target Manager Fiscal Year, so the data was not updated. Now, the Test Fiscal Year 2026 has been disabled, and the code has been changed to consider only enabled Fiscal Year documents.
</t>
  </si>
  <si>
    <t>TS23520</t>
  </si>
  <si>
    <t>While updating employee details error showing</t>
  </si>
  <si>
    <t>While checking the Employee Document are saving, no issue occured confirmed this with SP also</t>
  </si>
  <si>
    <t>TS23536</t>
  </si>
  <si>
    <t xml:space="preserve">provide the access to hr.coordinator@shaherunited.com for salary updates. </t>
  </si>
  <si>
    <t>Connected with client</t>
  </si>
  <si>
    <t>PS need to follow</t>
  </si>
  <si>
    <t>Client was not using the Employee Promotion document. I have now connected with Mr. Chitu and explained that the Employee Promotion document should be used for salary updates</t>
  </si>
  <si>
    <t>TS23543</t>
  </si>
  <si>
    <t>In the general receipt report cancelled receipt also reflected. Please remove that</t>
  </si>
  <si>
    <t>In the General Receipt report, cancelled documents were not showing in the day-wise collection. The client was using the Report View, so we advised them to add a filter for Workflow State as Not Cancelled.</t>
  </si>
  <si>
    <t>TSA hrPRO Implementation</t>
  </si>
  <si>
    <t>TS23547</t>
  </si>
  <si>
    <t>Need Create a new department. The department name is Weld IYM BTA 1 (070)</t>
  </si>
  <si>
    <t>Now the Department has been created</t>
  </si>
  <si>
    <t>TS23548</t>
  </si>
  <si>
    <t>Not able to approve the Leave Application, it showing Error Log crashed</t>
  </si>
  <si>
    <t>Error Log table has been repaired, Leave Applciation are working properly</t>
  </si>
  <si>
    <t>TS23554</t>
  </si>
  <si>
    <t>Service request not able to edit</t>
  </si>
  <si>
    <t xml:space="preserve">Moving the Service Request document from Draft to the next state is allowed only for users with the "Material Request User" role. This role was not assigned to ho@shaherunited.com user. Now, the role has been enabled.
</t>
  </si>
  <si>
    <t>TS23550</t>
  </si>
  <si>
    <t>EWRC Monthly Dashboard Data for the month of July 2026</t>
  </si>
  <si>
    <t>Mail sent to client- 06/08</t>
  </si>
  <si>
    <t xml:space="preserve">Now the Monthly Dashboard Data for month July 2026 has been uploaded </t>
  </si>
  <si>
    <t>TS23557</t>
  </si>
  <si>
    <t>Unable to change the company name and service in the sales order.</t>
  </si>
  <si>
    <t>0.1 difference due to update the condition while change the service</t>
  </si>
  <si>
    <t>Informed in Group</t>
  </si>
  <si>
    <t xml:space="preserve">When TEAMPRO Food Products was selected as the Company, the TFP Service and TFP checkbox were automatically enabled. This has now been changed so that the TFP checkbox will be unchecked when a different Service such as BCS is selected.
</t>
  </si>
  <si>
    <t>TS23552</t>
  </si>
  <si>
    <t xml:space="preserve">While assigning candidate to anyone from Job Applicant, error showing </t>
  </si>
  <si>
    <t>TS23549</t>
  </si>
  <si>
    <t>Team task is not reflected in DSR REC Week Plan</t>
  </si>
  <si>
    <t xml:space="preserve">Team was not assigned in the Employee document, so the data was not reflected. </t>
  </si>
  <si>
    <t>TS23558</t>
  </si>
  <si>
    <t xml:space="preserve">Samples quoted on zero value. and invoice is showing 29.40 AED. </t>
  </si>
  <si>
    <t>Due to find the root cause time consumed</t>
  </si>
  <si>
    <t>The Delivery Note was created against the SO and the rate for the second line item was changed. The Sales Invoice was also created from the Delivery Note, so the updated value is reflected in the Inovice and Print Format. Informed to client</t>
  </si>
  <si>
    <t>TS23565</t>
  </si>
  <si>
    <t xml:space="preserve">Need to access both address of a company or a customer as options. In Quotation, Sales Order, MR, PO. </t>
  </si>
  <si>
    <t>Due to updated the address based on field in the document time consumed</t>
  </si>
  <si>
    <t>Informed to client on 06/08</t>
  </si>
  <si>
    <t xml:space="preserve">In Material Request, Company Billing Address was configured to show addresses based on the selected Company. The selected address details are populated in the Address field and iit will reflect in the Print Format.
</t>
  </si>
  <si>
    <t>TS23561</t>
  </si>
  <si>
    <t>30th July onwards attendance not updated in all  category employees.</t>
  </si>
  <si>
    <t>Not taken, Rustdesk not working</t>
  </si>
  <si>
    <t>TS23585</t>
  </si>
  <si>
    <t>Student EVE-STU-2026-00208 was not reflecting in General Receipt</t>
  </si>
  <si>
    <t xml:space="preserve">For student EVE-STU-2026-00208, the Receiving Person was not created, which allowed the General Receipt to be created. Now, the Receiving Person has been created, and we checked that it is automatically created when saving the student.
</t>
  </si>
  <si>
    <t>TS23586</t>
  </si>
  <si>
    <t>TS23584</t>
  </si>
  <si>
    <t>Need to guide KB for uploading Candidates</t>
  </si>
  <si>
    <t>In the uploaded excel sheet, the Candidate Billing Currency is not added, due to that error occurs. Now for one document it has been added and uploaded.</t>
  </si>
  <si>
    <t>IR India HRPRO Implementation</t>
  </si>
  <si>
    <t>TS23606</t>
  </si>
  <si>
    <t xml:space="preserve">Refer the Attached salary working sheet CTC Colum Mr. Dasharathi nahak (SS0055) amount is mismatched </t>
  </si>
  <si>
    <t>Mail sent- 06/08</t>
  </si>
  <si>
    <t>Previously, the Attendance Bonus amount was also included in the CTC column. As instructed by the client, the Attendance Bonus amount has now been removed from the CTC. The OT value is also working properly.</t>
  </si>
  <si>
    <t>TS23545</t>
  </si>
  <si>
    <t>Given changes in the Employee Documents section</t>
  </si>
  <si>
    <t xml:space="preserve"> Due to update the document attachments need to be updated in the History child table when it change in the Documents table.</t>
  </si>
  <si>
    <t>Now updated the Documents table to automatically capture the current date whenever a document is uploaded or replaced, moved the previous attachment along with its date into the history tabl, and added the default set of 8 document types automatically for every employee.</t>
  </si>
  <si>
    <t>TS23593</t>
  </si>
  <si>
    <t>Need to upload the July 2026 data in local server and check all the charts</t>
  </si>
  <si>
    <t>Today allocated</t>
  </si>
  <si>
    <t>TS22920</t>
  </si>
  <si>
    <t>Vehicle Log and Vehicle Maintanence additional training to be given for Vehicle Incharge.</t>
  </si>
  <si>
    <t>While checking the flow, I found that it is not working properly, so I need to correct the issue and thoroughly verify the flow.</t>
  </si>
  <si>
    <t>TS22921</t>
  </si>
  <si>
    <t>Vehicle details and Employee details to be populated using QR code.</t>
  </si>
  <si>
    <t>Client is not available</t>
  </si>
  <si>
    <t>TS23596</t>
  </si>
  <si>
    <t>Check the payslip draft for Employee No. 324. The salary calculated for 18 days appears to be incorrect.</t>
  </si>
  <si>
    <t>Client is not available ( Today Allocated task)</t>
  </si>
  <si>
    <t>All attendance records for Employee 324 are currently in Draft status. These draft attendance records are being included in the Payment Days calculation.</t>
  </si>
  <si>
    <t>TS23602</t>
  </si>
  <si>
    <t>Em# 006 â€“ Overtime calculation shows a difference of QAR 3.</t>
  </si>
  <si>
    <t>TS23598</t>
  </si>
  <si>
    <t>Not able to submit this draft copy - employee transfer- Em#700</t>
  </si>
  <si>
    <t>Need to support form API sir.</t>
  </si>
  <si>
    <t>TS23600</t>
  </si>
  <si>
    <t>Unable to select the Student Group in Fee Schedule</t>
  </si>
  <si>
    <t>Previously, the Student Group had not been created for the selected Program, Academic Term, and Category. Now The client has created the Student Group, and the Fee Schedule and Fees also have been created for it.</t>
  </si>
  <si>
    <t>TS23601</t>
  </si>
  <si>
    <t>Unable to Create the Academic Term.</t>
  </si>
  <si>
    <t>When an Academic Year is selected, we define a fixed date range for it. Therefore, the Academic Term date range should fall within the selected Academic Year date range. Else the Error Message was Appeared.</t>
  </si>
  <si>
    <t>TS23595</t>
  </si>
  <si>
    <t>Johoku Meeting for Approval Flow</t>
  </si>
  <si>
    <t>Meeting task</t>
  </si>
  <si>
    <t>The Meetings  has been connected, and training has been provided on how to set user permissions for departments and configure the approval flow for HOD and TL Pending.
For employee JMPLS072, the approval flow has been updated to:
Employee â†’ MD Approval â†’ HR Approval
Additionally, department access has been removed and updated for some employees as required.</t>
  </si>
  <si>
    <t>TS23637</t>
  </si>
  <si>
    <t>Duplicate Receipt number is reflected.</t>
  </si>
  <si>
    <t>TS23519</t>
  </si>
  <si>
    <t>Unable to Approve the Attendance Request</t>
  </si>
  <si>
    <t>TS23634</t>
  </si>
  <si>
    <t>Need to Correct the RT value in Sprint</t>
  </si>
  <si>
    <t>TS23629</t>
  </si>
  <si>
    <t>Sprint Meeting 07/08/2026</t>
  </si>
  <si>
    <t>Meeting Task</t>
  </si>
  <si>
    <t>TS23620</t>
  </si>
  <si>
    <t>In user jacob.joy@nordencommunication.com, in his login , Aisha and Diya Leave applications are not abel to approve</t>
  </si>
  <si>
    <t>Explained to client</t>
  </si>
  <si>
    <t xml:space="preserve">These are old Leave Applications, so the current Leave Approver was not updated in them. Previously, the Leave Approver was set as vijay@nordencommunication.com, which is why Jacob was unable to approve them. Now, I have updated the Leave Approver accordingly.
</t>
  </si>
  <si>
    <t>TS23635</t>
  </si>
  <si>
    <t>Attendance Bonus need to add in Billing Amount with out GST column in Agency Salary Register</t>
  </si>
  <si>
    <t>Informed to client - 07/08</t>
  </si>
  <si>
    <t>Now the Attendance Bonus has been added and informed to client</t>
  </si>
  <si>
    <t>TS23632</t>
  </si>
  <si>
    <t>Sprint Meeting- 07/08</t>
  </si>
  <si>
    <t>TS23633</t>
  </si>
  <si>
    <t>User shijina@nordenco.ae unable to access some sales orders.</t>
  </si>
  <si>
    <t xml:space="preserve">Due to the "Retail - NCMEF" Price List User Permission not being created for shijina@nordenco.ae, she was unable to access the below-mentioned Sales Order. Kindly create the User Permission for the "Retail - NCMEF" Price List </t>
  </si>
  <si>
    <t>TS23546</t>
  </si>
  <si>
    <t xml:space="preserve">providing an option to generate a print (PROFORMA INVOICE), without discount column, </t>
  </si>
  <si>
    <t>Confirmation required, to take this task</t>
  </si>
  <si>
    <t>TS23647</t>
  </si>
  <si>
    <t>The CL Leave Count is Showing Wrongly</t>
  </si>
  <si>
    <t>TS23657</t>
  </si>
  <si>
    <t>Need to disable the User and remove from client groups</t>
  </si>
  <si>
    <t>Delta</t>
  </si>
  <si>
    <t>Comp RT/AT</t>
  </si>
  <si>
    <t>Work RT/AT</t>
  </si>
  <si>
    <t>Spot Work RT/AT</t>
  </si>
  <si>
    <t>Spot NT RT/AT</t>
  </si>
  <si>
    <t>AP</t>
  </si>
  <si>
    <t>ANM</t>
  </si>
  <si>
    <t>GL</t>
  </si>
  <si>
    <t>TS23494</t>
  </si>
  <si>
    <t>In Onboarding document, show a status flow map for all conditions with a info icon or something else - #ui #onboarding</t>
  </si>
  <si>
    <t>gayathri.lk@groupteampro.com</t>
  </si>
  <si>
    <t>It took some extra time because I was checking the wrong route (employer/onboarding) instead of the correct one (employerr/onboarding).</t>
  </si>
  <si>
    <t>Added a new Overall Flow button to the Onboarding List View. When the button is clicked, a Vue dialog opens and displays the complete Onboarding Status Flow Dashboard, providing users with a visual overview of the entire onboarding process without leaving the list view.</t>
  </si>
  <si>
    <t>TS23493</t>
  </si>
  <si>
    <t>Ask remarks for drop / reject on Onboarding / Applicant / Partner Allocation - #ui</t>
  </si>
  <si>
    <t>WSL was reconnecting frequently, so it took me some extra time to complete the task.</t>
  </si>
  <si>
    <t>Implemented a Remarks dialog for Drop Job Applicant, Onboarding Applicant, and Partner Allocation actions in the Job Opening Onboarding tab, as well as in the Job Applicant and Onboarding form views. The entered remarks are automatically recorded in both the Comments section and the Status table. Additionally, for Partner Allocation, when the status is set to Dropped, the Remarks field is mandatory before the action can be completed.</t>
  </si>
  <si>
    <t>TS23486</t>
  </si>
  <si>
    <t>In closure, do not allow to change the details which are from the Applicant - #restriction</t>
  </si>
  <si>
    <t>Implemented synchronization between Job Applicant and Onboarding for all shared fields. Fields populated from the Job Applicant are now read-only in the Onboarding document and cannot be modified. Any updates made in the Job Applicant are automatically synchronized to the linked Onboarding record. Fields that are specific to Onboarding and not linked to the Job Applicant remain fully editable. This ensures the Job Applicant remains the single source of truth for shared applicant information while allowing onboarding-specific details to be maintained independently.</t>
  </si>
  <si>
    <t>TS23482</t>
  </si>
  <si>
    <t>Handle Set Query in JOBPRO</t>
  </si>
  <si>
    <t>riyaz.a@groupteampro.com</t>
  </si>
  <si>
    <t>Time exceed due the issue in the implement this set query functionality in the new employer architecture</t>
  </si>
  <si>
    <t>--&gt;In Job Opening created and configured the Set Query functionality for the project based on the customer
--&gt;Made this as to implement through the new employer architecture
--&gt;Created an custom filters function in the DoctypeForm.vue of Job Opening 
--&gt;F</t>
  </si>
  <si>
    <t>TS23479</t>
  </si>
  <si>
    <t xml:space="preserve">While creating a project, the required fields for Advertisement Creation and Agent Format are needed. </t>
  </si>
  <si>
    <t>Takes extra time due to creating Ad Management settings page and also WSL was reconnecting frequently during development</t>
  </si>
  <si>
    <t>Implemented the Project Agent Format feature by adding an Agent Format action in the Project form, allowing recruiters to generate and download a professionally formatted requirement document. The document dynamically fetches requirement details from all linked Job Openings, displays the Project's Company name, and includes the Project benefits, making it ready to share with recruitment agents.
Additionally, implemented an automatic email notification when a Project status changes to In Progress. The system retrieves the configured Ad Creators from the corresponding Advertisement Management document and sends them a Project notification email using a newly created email template based on the existing design. The email includes all required Project details for starting advertisement activities and is sent only when Advertisement Management is configured and enabled for the Project's Company.</t>
  </si>
  <si>
    <t>TS23475</t>
  </si>
  <si>
    <t>On the home page, when we use the search option, it is displaying an empty result.</t>
  </si>
  <si>
    <t>--&gt;In home page made to show option dialog for the designation and Location fields
--&gt;Added an provision to auto-remove after un-focus.. the content that user typed in these select or link fields which doesn't have that exact input
--&gt;Implemented this aut</t>
  </si>
  <si>
    <t>TS23470</t>
  </si>
  <si>
    <t>For Bulk parsing, limit the no of files by 20. If Excel no need to limit</t>
  </si>
  <si>
    <t>TS23483</t>
  </si>
  <si>
    <t>Comment is not working, got error from crm.api.</t>
  </si>
  <si>
    <t>--&gt;Need to resolve the issue that the Comment is not working, got error from crm.api.comment.add_comment
--&gt; Need to make the comment to work as independent without install the frappe crm</t>
  </si>
  <si>
    <t>TS23478</t>
  </si>
  <si>
    <t>AI feature for the advertisement is not working</t>
  </si>
  <si>
    <t xml:space="preserve">Time exceeds due to the issue with the Gemini API token as issue as we cant able to check it properly as an full flow and for developing the gallery grid for the full flow </t>
  </si>
  <si>
    <t>--&gt;Checked and resolved the AI feature for the advertisement is not working issue [the token for the API is finished]
--&gt;In Job Opening, removed the attachment tab and add the Advertisement tab
--&gt;Created an gallery grid view for display the generated adv</t>
  </si>
  <si>
    <t>TS23476</t>
  </si>
  <si>
    <t>Send button is not working in Email Field.</t>
  </si>
  <si>
    <t>--&gt;Checked that the send button is not working in Email Field.
--&gt;The actual issue is related to the permission give for the employer admin
--&gt;This permission related logics are related with another task logic.. so, them to check that permission
--&gt;Once t</t>
  </si>
  <si>
    <t>TS23317</t>
  </si>
  <si>
    <t>Schedule Interview: Integrate it with the meeting platforms</t>
  </si>
  <si>
    <t>TS23311</t>
  </si>
  <si>
    <t>Publish to Website: On enabling it, the opening will be posted in the employer's career page</t>
  </si>
  <si>
    <t>TS23239</t>
  </si>
  <si>
    <t>Add a text fields for the link fields for the Education link fieldsAdd a check fieldWhile parsing get the data from the AI and update the sp</t>
  </si>
  <si>
    <t>Time exceed due to the issue in the displaying and handling the error in the parse log both in default and custom page</t>
  </si>
  <si>
    <t xml:space="preserve">--&gt;while conversion of parse log to candidate in link fields sometime the value that are not in the linked doctype is set in the link fields and create issue with the saving document.. I do the following changes to handle that :
--&gt;Added an status in the </t>
  </si>
  <si>
    <t>TS23127</t>
  </si>
  <si>
    <t>Show the count of documents in the list view</t>
  </si>
  <si>
    <t>TS23122</t>
  </si>
  <si>
    <t>Add the interview assessment in the Job Applicant</t>
  </si>
  <si>
    <t>TS23109</t>
  </si>
  <si>
    <t>Add a provision to search candidates  from the Applicants</t>
  </si>
  <si>
    <t>TS21810</t>
  </si>
  <si>
    <t>Suggest relevant jobs for the profile</t>
  </si>
  <si>
    <t>--&gt;Created an openings tab in the candidate doctype
--&gt;Created two collapsible sections as,
     -Application
     -Relevant Openings
--&gt;In Application section made to display the already applied job by that candidate as card
--&gt;In Relevant Opening sectio</t>
  </si>
  <si>
    <t>TS23502</t>
  </si>
  <si>
    <t>Add provision to manage the teammate creations in settings - #admin</t>
  </si>
  <si>
    <t>amar.p@groupteampro.com</t>
  </si>
  <si>
    <t>Grouped the sidebar tabs
Synced Teammate with the User
If user / teammate is edited teammate / user will be auto updated
On creation of the teammate, if user not found, user will be created
Added Team creation in the Settings and grouped the section by Team Management
Duplicated the Email Settings from the Frappe CRM
Created separate files for each tab</t>
  </si>
  <si>
    <t>TS23498</t>
  </si>
  <si>
    <t>Create a page for the Advanced Search and link it with the Job Opening</t>
  </si>
  <si>
    <t>To setup job platforms took time</t>
  </si>
  <si>
    <t>Build a modern enterprise sourcing experience.
Support multiple candidate sources.
Provide AI-assisted search.
Enable quick candidate preview and actions.
Design the system to accommodate future integrations without major UI changes.</t>
  </si>
  <si>
    <t>TS23314</t>
  </si>
  <si>
    <t>Frontend Architecture Refactoring (Frappe-like Structure)</t>
  </si>
  <si>
    <t xml:space="preserve">Architecture
Employer
â”œâ”€â”€ setup
â”‚   â”œâ”€â”€ views
â”‚   â”‚   â”œâ”€â”€ List.vue
â”‚   â”‚   â”‚   â”œâ”€â”€ Navbar
â”‚   â”‚   â”‚   â”‚   â”œâ”€â”€ Breadcrumbs
â”‚   â”‚   â”‚   â”‚   â”œâ”€â”€ Search
â”‚   â”‚   â”‚   â”‚   â””â”€â”€ Actions
â”‚   â”‚   â”‚   â”œâ”€â”€ Viewcontrol
â”‚   â”‚   â”‚   â”‚   â”œâ”€â”€ Standard Filters
â”‚   â”‚   â”‚   â”‚   â””â”€â”€ View Customizations
â”‚   â”‚   â”‚   â”œâ”€â”€ List
â”‚   â”‚   â”‚   â”‚   â”œâ”€â”€ Columns
â”‚   â”‚   â”‚   â”‚   â””â”€â”€ Data
â”‚   â”‚   â”‚   â””â”€â”€ Footer
â”‚   â”‚   â”‚       â””â”€â”€ Pagination
â”‚   â”‚   â”œâ”€â”€ Form.vue
â”‚   â”‚   â”‚   â”œâ”€â”€ Navbar
â”‚   â”‚   â”‚   â”‚   â”œâ”€â”€ Breadcrumbs
â”‚   â”‚   â”‚   â”‚   â”œâ”€â”€ Search
â”‚   â”‚   â”‚   â”‚   â””â”€â”€ Actions
â”‚   â”‚   â”‚   â”œâ”€â”€ Main Content
â”‚   â”‚   â”‚   â”‚   â”œâ”€â”€ Primary Tab
â”‚   â”‚   â”‚   â”‚   â””â”€â”€ Content
â”‚   â”‚   â”‚   â””â”€â”€ Right Sidebar
â”‚   â”‚   â”‚       â”œâ”€â”€ Docname
â”‚   â”‚   â”‚       â”œâ”€â”€ Header
â”‚   â”‚   â”‚       â””â”€â”€ Accordions / Personalized Content
â”‚   â”‚   â”œâ”€â”€ Page.vue
â”‚   â”‚   â”‚   â”œâ”€â”€ Navbar
â”‚   â”‚   â”‚   â”‚   â”œâ”€â”€ Breadcrumbs
â”‚   â”‚   â”‚   â”‚   â”œâ”€â”€ Search
â”‚   â”‚   â”‚   â”‚   â””â”€â”€ Action
â”‚   â”‚   â”‚   â””â”€â”€ Main Content
â”‚   â”‚   â””â”€â”€ Report.vue
â”‚   â”‚       â”œâ”€â”€ Navbar
â”‚   â”‚       â”‚   â”œâ”€â”€ Breadcrumbs
â”‚   â”‚       â”‚   â”œâ”€â”€ Search
â”‚   â”‚       â”‚   â””â”€â”€ Action
â”‚   â”‚       â”œâ”€â”€ Filters
â”‚   â”‚       â””â”€â”€ Table
â”‚   â”‚           â”œâ”€â”€ Columns
â”‚   â”‚           â””â”€â”€ Data
â”‚   â””â”€â”€ components
â”‚       â”œâ”€â”€ c1.vue
â”‚       â””â”€â”€ c2.vue
â”œâ”€â”€ dashboard
â”‚   â”œâ”€â”€ employer_dashboard
â”‚   â”‚   â”œâ”€â”€ EmployerDashboard.vue
â”‚   â”‚   â””â”€â”€ data
â”‚   â”‚       â”œâ”€â”€ d1.js
â”‚   â”‚       â””â”€â”€ d2.js
â”‚   â””â”€â”€ components
â”‚       â”œâ”€â”€ c1.vue
â”‚       â””â”€â”€ c2.vue
â”œâ”€â”€ page
â”‚   â””â”€â”€ parse_resume
â”‚       â”œâ”€â”€ ParseResume.vue
â”‚       â””â”€â”€ parse_resume.js
â”œâ”€â”€ doctype
â”‚   â””â”€â”€ job_opening
â”‚       â”œâ”€â”€ JobOpening.vue
â”‚       â”‚   â””â”€â”€ tabs
â”‚       â”‚       â”œâ”€â”€ Opening.vue
â”‚       â”‚       â”‚   â””â”€â”€ DoctypeForm.vue
â”‚       â”‚       â”œâ”€â”€ Applicants.vue / Onboarding.vue
â”‚       â”‚       â”œâ”€â”€ Attachments
â”‚       â”‚       â”œâ”€â”€ Connections
â”‚       â”‚       â”œâ”€â”€ Emails
â”‚       â”‚       â”œâ”€â”€ Activity
â”‚       â”‚       â””â”€â”€ Notes
â”‚       â””â”€â”€ job_opening.js
â”œâ”€â”€ report
â”‚   â””â”€â”€ candidate
â”‚       â”œâ”€â”€ candidate.vue
â”‚       â””â”€â”€ candidate.js
â””â”€â”€ utils
    â”œâ”€â”€ utils.js
    â””â”€â”€ utils.py
Navbar
</t>
  </si>
  <si>
    <t>TS23312</t>
  </si>
  <si>
    <t xml:space="preserve">Similar profile from the AI matched pofile </t>
  </si>
  <si>
    <t>TS22681</t>
  </si>
  <si>
    <t>There will be profile pages for Employer, Recruiter and Candidate.</t>
  </si>
  <si>
    <t>1. Backend API &amp; AI Development (teammate.py)
parse_teammate_resume API: Built an endpoint to parse resume attachments (PDF/DOCX/TXT), aggregate profile data, and feed live recruiter dashboard KPIs into the AI engine.
AI Output Mapping: Mapped AI response to ai_resume_summary, ai_strengths, and ai_recommendations in MariaDB with intelligent domain fallbacks.
save_recruiter_expertise API: Created a whitelisted endpoint for inline updating of recruiter domain expertise (industries, countries, positions, languages, certifications, experience years).
2. Schema &amp; DocType Modifications (teammate.json, teammate.js)
Naukri Profile: Added naukri_profile URL field to the Teammate schema.
Field Cleanup: Removed the obsolete monthly_target field from database schema and JS default states.
3. Frontend Vue Components (src/pages/Employerr/doctype/teammate/)
Sidebar Integration (Teammate.vue): Added Naukri profile link and logo icon above the LinkedIn profile section.
Interactive AI Insights (AIInsights.vue &amp; ResumeInsights.vue): Added empty states with a "Generate AI Insights" trigger button and loading spin state.
Inline Expertise Editing (RecruiterSummary.vue &amp; SkillsExpertise.vue): Connected domain expertise forms directly to backend persistence APIs.
4. UI &amp; Architectural Compliance
Typography: Cleaned up font weights across all Teammate components (max font-semibold, default font-medium, removed uppercase headers).
Badge Components: Replaced hardcoded badge sizes with standard default sizing.
5. Additional Fixes &amp; Maintenance
auth.py Fix: Corrected typo frappe.db.exist to frappe.db.exists in is_approved().
Dashboard Fix (employer_dashboard.py): Updated get_interviews() to query tabJob Applicant records directly for Lined-Up / Lined-Up Confirmed statuses.
Build Verification: Ran yarn build to ensure all frontend assets compiled successfully.</t>
  </si>
  <si>
    <t>TS22646</t>
  </si>
  <si>
    <t>Add a new tab Dashboard (better name can be changed later) in the primary tab for closure</t>
  </si>
  <si>
    <t>TS22645</t>
  </si>
  <si>
    <t>Add vertical tabs for the closure tabs</t>
  </si>
  <si>
    <t>TS23497</t>
  </si>
  <si>
    <t>Add provision to allocate by teamwise - #allocation</t>
  </si>
  <si>
    <t xml:space="preserve">The task required extra testing to verify allocation, reallocation, and Team allocation behavior, which extended the implementation time.
</t>
  </si>
  <si>
    <t>Enhanced the Job Opening Allocation functionality by allowing Active allocations to be edited while preserving the original Allocation Date for Proposed PSL calculation. Updated the Assigned To dialog to display each assignee only once, while the right sidebar now lists all allocation records in the order of Active, Completed, and Expired with Show All support. Added a confirmation dialog before removing allocations to prevent accidental deletion. Verified that Proposed PSL counts are calculated only for applicants who reached Proposed PSL after the Allocation Date, and ensured the same calculation logic is maintained after reallocation. Also validated Team allocation to ensure Proposed PSL is calculated based on the current Team Members.</t>
  </si>
  <si>
    <t>TS23496</t>
  </si>
  <si>
    <t>Update in Allocations</t>
  </si>
  <si>
    <t>Enhanced the Job Opening Allocation workflow by introducing allocation tracking with a system-generated 2-week deadline for each allocation. During allocation, the system displays the number of applicants to be allocated along with the automatically generated deadline. If the deadline expires before the assigned target is completed, the system allows the recruiter to be reallocated with a new deadline while preserving the previous allocation history.
Added an Allocation section to the Job Opening right sidebar that displays all allocated users. Expanding an allocated user shows their allocation history, including the number of candidates allocated, the number of candidates moved to Proposed PSL, previous allocation records, and submission insights.
Additionally, allocated users can now view their deadline near the Jump To button on the Job Opening form. This section is visible only to users assigned to that specific Job Opening and displays their progress in the format Proposed PSL / Total Allocated Candidates, providing a quick overview of their allocation status.</t>
  </si>
  <si>
    <t>TS23480</t>
  </si>
  <si>
    <t>When we enter the Territory and save the details, it is automatically changing and showing as India.</t>
  </si>
  <si>
    <t>The task required additional time to identify the root cause of unintended field synchronization, trace dependencies across multiple doctypes</t>
  </si>
  <si>
    <t>Restricted the synchronization logic to Candidate, Job Applicant, and Onboarding only. Removed unintended automatic synchronization from other doctypes, ensuring fields outside these three doctypes no longer update automatically or cause unnecessary unsaved changes after refresh. Verified that the synchronization between Candidate, Job Applicant, and Onboarding continues to function correctly while preserving independent values in all other doctypes.</t>
  </si>
  <si>
    <t>TS23459</t>
  </si>
  <si>
    <t>While attaching the resume in Job Applicant or Candidate, mask the cv and add it in the Attachments</t>
  </si>
  <si>
    <t>Implement Syncing candidate with job applicant and when changing the resume in candidate automatically update the masked resume takes extra time</t>
  </si>
  <si>
    <t>Implemented automatic Masked Resume generation when a resume is attached in the Job Applicant. Upon uploading the resume, the system automatically calls the function to create the Masked CV, retrieves the generated masked resume, and updates the Documents child table in the Job Applicant by creating or updating the "Masked Resume" entry with the generated file. This ensures the masked resume is always generated and linked automatically without any manual intervention.</t>
  </si>
  <si>
    <t>TS23316</t>
  </si>
  <si>
    <t>Candidate Engagement: On change of Applicant / Onboarding status, email will be sent to the candidate</t>
  </si>
  <si>
    <t>TS23240</t>
  </si>
  <si>
    <t>Add social media option in the Applicant Source Type.If Social Media is selected, show a field Platform</t>
  </si>
  <si>
    <t>Took extra time for checking syncronize function among Job applicant, Candidate and Onboarding</t>
  </si>
  <si>
    <t>Implemented the Social Media option in Applicant Source Type and added the Job Platform field, which is displayed only when Social Media is selected. Applied the same functionality across the Job Applicant, Candidate, and Onboarding doctypes. Created a migration patch to remove obsolete Job Applicant Source records such as LinkedIn, Naukri, and other job platforms, ensuring all sites remain consistent after migration. Updated fixtures accordingly and verified that synchronization between Job Applicant, Candidate, and Onboarding continues to work correctly, including the new Applicant Source Type and Job Platform fields.</t>
  </si>
  <si>
    <t>TS23238</t>
  </si>
  <si>
    <t>Integrate Frappe CRM &amp; Customer to Project Flow</t>
  </si>
  <si>
    <t>TS23237</t>
  </si>
  <si>
    <t>Handle the actions for status migration for Applicants and Onboarding</t>
  </si>
  <si>
    <t>TS23228</t>
  </si>
  <si>
    <t>Hide the company for all the doctypes except the system managersIf any doctype has user link field, show the session user</t>
  </si>
  <si>
    <t>Updated the form behavior to improve usability and data consistency. The Company field is now automatically hidden when it already contains a value, except for users with the System Manager role, who can always view and modify it. If the Company field is empty, it remains visible for users to select a value. Additionally, the Candidate Owner and Applicant Owner fields are now automatically populated with the current session user by default when creating a new record.</t>
  </si>
  <si>
    <t>TS23515</t>
  </si>
  <si>
    <t>Issue on bulk uploading resume</t>
  </si>
  <si>
    <t>- Enforce maximum 20 resumes per bulk upload batch across Employer Parse Resume dashboard and New Applicant modal.
- Cap candidate email attachment resume parsing to a maximum of 20 files per email batch.
- Ensure all single and bulk resume parsing operat</t>
  </si>
  <si>
    <t>TS23489</t>
  </si>
  <si>
    <t>Get ECR / ECNR from passport attachment</t>
  </si>
  <si>
    <t>The task required additional time to implement and validate passport extraction for both text-based and scanned PDFs, integrate OCR support, build the review dialog with editable extracted values, and thoroughly test multiple extraction and confirmation scenarios across Candidate, Job Applicant, and Onboarding.</t>
  </si>
  <si>
    <t>Implemented automatic passport processing for Candidate, Job Applicant, and Onboarding by integrating the existing Task AI passport extraction flow with OCR support for scanned passports. Extracted ECR/ECNR, Place of Issue, Issued Date, and Expiry Date from the passport and displayed them in a review dialog for user verification before updating the document. Added a processing indicator while passport extraction is in progress, handled confirmation when an existing ECR/ECNR value differs from the detected value, and ensured the extraction workflow functions consistently across all three doctypes.</t>
  </si>
  <si>
    <t>TS23594</t>
  </si>
  <si>
    <t>Need to create Organizational Chart for all 6 ACGC Sites</t>
  </si>
  <si>
    <t>--&gt;Created the Organizational Chart for all 6 ACGC Sites given by the client
--&gt;Renamed the organization chart files from PSR1 to PRS1 as it wrongly named earlier
--&gt;Checked the site and the organization charts to ensure that they are properly build witho</t>
  </si>
  <si>
    <t>TS23610</t>
  </si>
  <si>
    <t>Updates in Parse Resume</t>
  </si>
  <si>
    <t>Time exceed due the major change in the configuration of AI calling in all the 10 areas where AI is used and due to time taken in trail and error will exploring new AI related stuffs</t>
  </si>
  <si>
    <t>--&gt;Added the auto-field mapping and resolve the option dialog movement issue in the excel upload 
--&gt;Removed the 20 resume parsing in a batch limitation for Excel and csv upload
--&gt;Tried the spaCy for json formatting and to replace some AI features but it</t>
  </si>
  <si>
    <t>TS23492</t>
  </si>
  <si>
    <t>Update in Mobile Number field</t>
  </si>
  <si>
    <t>TS23474</t>
  </si>
  <si>
    <t>In the Jobs module, when we click on â€˜Apply Nowâ€™, we are unable to submit the application as an application error is displayed.</t>
  </si>
  <si>
    <t>Implemented validation for the Apply Now functionality by checking the current user's roles and Candidate record before proceeding with the job application. Users with roles or without a Candidate record are prevented from applying with appropriate messages. For valid Candidates, the existing resume validation and Job Applicant application flow is reused, allowing users with an attached resume to apply directly and prompting users without a resume to attach one.</t>
  </si>
  <si>
    <t>TS23622</t>
  </si>
  <si>
    <t>For the submit spoc email, add the CV with IAF masked which should be downloadable</t>
  </si>
  <si>
    <t xml:space="preserve">Discussion with API sir, takes more time </t>
  </si>
  <si>
    <t>Enhanced the Submit SPOC email by attaching the IAF Masked CV for each Job Applicant. The attached CV is included as a downloadable file in the email, allowing recipients to easily download and review the masked resume directly from the daily Submit SPOC report.</t>
  </si>
  <si>
    <t>TS23626</t>
  </si>
  <si>
    <t>After creating a Task, the AI features for JD Parsing and Advertisement Creator are not working.</t>
  </si>
  <si>
    <t>Removed the Task IA button from the Job Opening. Updated the Advertisement Creator button with the lucide-microphone icon and redesigned the Advertisement Creator dialog with improved font sizing and UI styling to match the Employer-side design.</t>
  </si>
  <si>
    <t>Bravo</t>
  </si>
  <si>
    <t>RT Vs AT %(Completed Tasks) &gt; 150%</t>
  </si>
  <si>
    <t>Sum of RT</t>
  </si>
  <si>
    <t>Sum of AT Period</t>
  </si>
  <si>
    <t>Count of Task</t>
  </si>
  <si>
    <t>Grand Total</t>
  </si>
  <si>
    <t>Note : Task Status in PR/CR/Completed</t>
  </si>
  <si>
    <t>RT Vs AT % (Working) &gt; 150%</t>
  </si>
  <si>
    <t>NT Tasks with Priority High/Urgent in any sprint</t>
  </si>
  <si>
    <t>NT Tasks with Priority High/Urgent</t>
  </si>
  <si>
    <t>Note : Task Status in Open / Working</t>
  </si>
  <si>
    <t>Sr</t>
  </si>
  <si>
    <t>Dev Team</t>
  </si>
  <si>
    <t>Project Name</t>
  </si>
  <si>
    <t>ID</t>
  </si>
  <si>
    <t>Cr. Status</t>
  </si>
  <si>
    <t>AT (P)</t>
  </si>
  <si>
    <t>KT transferred</t>
  </si>
  <si>
    <t>Title</t>
  </si>
  <si>
    <t>Department</t>
  </si>
  <si>
    <t>Date</t>
  </si>
  <si>
    <t>Created By</t>
  </si>
  <si>
    <t>NC Raised as it is Internal Reference</t>
  </si>
  <si>
    <t>NC Raised as it is Customer KT</t>
  </si>
  <si>
    <t>NC Raised, condition was missing</t>
  </si>
  <si>
    <t>jobpro-features-dev</t>
  </si>
  <si>
    <t>hr-points-meeting-7-9-26</t>
  </si>
  <si>
    <t>taihan-meeting-05-08-26</t>
  </si>
  <si>
    <t>review-meeting-gratuity-report</t>
  </si>
  <si>
    <t>review-meeting-july-6</t>
  </si>
  <si>
    <t>qhse-meeting-15th-jun</t>
  </si>
  <si>
    <t>review-meeting-july-7</t>
  </si>
  <si>
    <t>opening-balance-kt-and-cr-points-review-meeting</t>
  </si>
  <si>
    <t>tsa-us-meeting-06-08</t>
  </si>
  <si>
    <t>review-meeting-28-7</t>
  </si>
  <si>
    <t>jgb-hr-points-meeting-06-07-26</t>
  </si>
  <si>
    <t>payroll-meeting-27-06</t>
  </si>
  <si>
    <t>review-meeting-18-04</t>
  </si>
  <si>
    <t>jgb-hr-points-review</t>
  </si>
  <si>
    <t>rank-purchase-flow-meeting</t>
  </si>
  <si>
    <t>jgb-hr-points-review-18-02-26</t>
  </si>
  <si>
    <t>taihan-meeting-01-08-26</t>
  </si>
  <si>
    <t>jgb-cr-meeting-22-06-26</t>
  </si>
  <si>
    <t>jgb-cr-review-meeting-03-06-2026</t>
  </si>
  <si>
    <t>jgb-cr-meeting-06-07</t>
  </si>
  <si>
    <t>gplast-meeting-report</t>
  </si>
  <si>
    <t>qhse-meeting</t>
  </si>
  <si>
    <t>electra-22-07-26-meeting</t>
  </si>
  <si>
    <t>trial-balance-meeting-07-04</t>
  </si>
  <si>
    <t>asset-and-project-costing-review-04-05</t>
  </si>
  <si>
    <t>jobpro-plan-review</t>
  </si>
  <si>
    <t>payroll-journal-review-06-07-26</t>
  </si>
  <si>
    <t>pcc-confirmation-meeting</t>
  </si>
  <si>
    <t>jobpro</t>
  </si>
  <si>
    <t>jobpro-review</t>
  </si>
  <si>
    <t>jgb-meeting-13-05-2026</t>
  </si>
  <si>
    <t>hr-meeting-29-02</t>
  </si>
  <si>
    <t>jgb-cr-meeting-29-06-2026</t>
  </si>
  <si>
    <t>payroll-meeting-25-06</t>
  </si>
  <si>
    <t>review-meeting-18-06-26</t>
  </si>
  <si>
    <t>wonjin-subcontracting-production</t>
  </si>
  <si>
    <t>wonjin-pas-19-12-2025</t>
  </si>
  <si>
    <t>jgb-user-permission-discussion-14-05-26</t>
  </si>
  <si>
    <t>jgb-meeting-13-04-26</t>
  </si>
  <si>
    <t>qpic-meeting-01-04-26</t>
  </si>
  <si>
    <t>accounts-meeting-tph-and-tou</t>
  </si>
  <si>
    <t>opening-balance-kt-and-pr-review-meeting</t>
  </si>
  <si>
    <t>taskai-review-meeting</t>
  </si>
  <si>
    <t>jgb-meeting-161225</t>
  </si>
  <si>
    <t>production-module-demo-condenser-assembly-department</t>
  </si>
  <si>
    <t>review-completed-points</t>
  </si>
  <si>
    <t>subcontracting-review</t>
  </si>
  <si>
    <t>subcontracting-review-25-03-2026</t>
  </si>
  <si>
    <t>its-week-plan-w25-2026-mom</t>
  </si>
  <si>
    <t>jobpro-review-brainstorm</t>
  </si>
  <si>
    <t>website-meeting</t>
  </si>
  <si>
    <t>tsa-us-meeting-11-05-2026</t>
  </si>
  <si>
    <t>accounting-meeting-23-04</t>
  </si>
  <si>
    <t>galfar-review-meeting</t>
  </si>
  <si>
    <t>production-module-review-13-02-2026</t>
  </si>
  <si>
    <t>customer-committment-review</t>
  </si>
  <si>
    <t>review-meeting-with-mr-senthil</t>
  </si>
  <si>
    <t>shaher-accounts-meeting-17-11-25</t>
  </si>
  <si>
    <t>jgb-meeting</t>
  </si>
  <si>
    <t>completed-points-review-21-04-26</t>
  </si>
  <si>
    <t>hr-points-review-meeting</t>
  </si>
  <si>
    <t>technical-sheet-pe-bag-roll</t>
  </si>
  <si>
    <t>recruitment-flow-review</t>
  </si>
  <si>
    <t>johoku-payroll-support</t>
  </si>
  <si>
    <t>norden-warehouse-display-meeting</t>
  </si>
  <si>
    <t>jgb-meeting-11-03-26</t>
  </si>
  <si>
    <t>jgb-hr-points-review-25-2-26</t>
  </si>
  <si>
    <t>jgb</t>
  </si>
  <si>
    <t>review-meeting-11-04</t>
  </si>
  <si>
    <t>hr-meeting-and-hse-meeting</t>
  </si>
  <si>
    <t>review-meeting-28-03</t>
  </si>
  <si>
    <t>wonjin-points-discussion</t>
  </si>
  <si>
    <t>project-budget-review-meeting</t>
  </si>
  <si>
    <t>hrms-training-13-03-2026</t>
  </si>
  <si>
    <t>subcontracting-review-aws-server</t>
  </si>
  <si>
    <t>issue-on-production-entry-review</t>
  </si>
  <si>
    <t>meeting-tph-and-tou</t>
  </si>
  <si>
    <t>internal-rec-meeting-28-11-2025</t>
  </si>
  <si>
    <t>jgb-hr-points-review-23-12</t>
  </si>
  <si>
    <t>electra-08-01-2026</t>
  </si>
  <si>
    <t>electra-10-12-2025</t>
  </si>
  <si>
    <t>jmi-bill-summary-and-by-points-meeting</t>
  </si>
  <si>
    <t>hindustan-meeting-07-02-2026</t>
  </si>
  <si>
    <t>gplast-hr-review-19-01-2026</t>
  </si>
  <si>
    <t>wonjin-pas-npd-08-12-2025</t>
  </si>
  <si>
    <t>dwsi-contractor-salary-register-review-meeting-02-02-2026</t>
  </si>
  <si>
    <t>jgb-meeting-141225</t>
  </si>
  <si>
    <t>gplast-meeting-11-12-2025</t>
  </si>
  <si>
    <t>by-points-demo-05-12-2025</t>
  </si>
  <si>
    <t>gplast-review-meeting-24-11-2025</t>
  </si>
  <si>
    <t>gplast-check-the-oct-month-attendance-15-11-2025</t>
  </si>
  <si>
    <t>gplast-review-meeting-02-12-2025</t>
  </si>
  <si>
    <t>vendor-management-03-12-2025</t>
  </si>
  <si>
    <t>gplast-meeting-12-11-2025</t>
  </si>
  <si>
    <t>johoku-hrms-meeting-15-10</t>
  </si>
  <si>
    <t>gplast-salary-components</t>
  </si>
  <si>
    <t>srs-shaher-05-12-24</t>
  </si>
  <si>
    <t>johoku-hrms-meeting-16-05-2025</t>
  </si>
  <si>
    <t>JOBPRO Features - DEV</t>
  </si>
  <si>
    <t>IT Services - THIS</t>
  </si>
  <si>
    <t>HR Points Meeting -7/9/26</t>
  </si>
  <si>
    <t>IT. Development - THIS</t>
  </si>
  <si>
    <t>Taihan Meeting - 05/08/26</t>
  </si>
  <si>
    <t>Review Meeting - Gratuity Report</t>
  </si>
  <si>
    <t>Review Meeting - July 6</t>
  </si>
  <si>
    <t>QHSE Meeting - 15th Jun</t>
  </si>
  <si>
    <t>Review Meeting - July 7</t>
  </si>
  <si>
    <t>Opening Balance KT and CR points review Meeting</t>
  </si>
  <si>
    <t>Review Meeting - 28/7</t>
  </si>
  <si>
    <t>JGB HR Points Meeting - 06/07/26</t>
  </si>
  <si>
    <t xml:space="preserve">Payroll Meeting - 27/06 </t>
  </si>
  <si>
    <t>Review Meeting - 18/04</t>
  </si>
  <si>
    <t>ITS - THIS</t>
  </si>
  <si>
    <t>TENPRO</t>
  </si>
  <si>
    <t>JGB HR Points - Review</t>
  </si>
  <si>
    <t>RANK - Purchase Flow Meeting</t>
  </si>
  <si>
    <t>JGB HR Points Review - 18/02/26</t>
  </si>
  <si>
    <t>Taihan Meeting - 01/08/26</t>
  </si>
  <si>
    <t>JGB CR Meeting 22/06/26</t>
  </si>
  <si>
    <t>JGB CR Review Meeting 03/06/2026</t>
  </si>
  <si>
    <t>JGB CR Meeting - 06/07</t>
  </si>
  <si>
    <t xml:space="preserve">GPLAST Meeting - Report </t>
  </si>
  <si>
    <t>QHSE Meeting</t>
  </si>
  <si>
    <t>Electra 22/07/26 Meeting</t>
  </si>
  <si>
    <t>Trial Balance Meeting - 07/04</t>
  </si>
  <si>
    <t>Asset and Project Costing Review - 04/05</t>
  </si>
  <si>
    <t>JOBPRO - Plan Review</t>
  </si>
  <si>
    <t>Payroll Journal Review - 06/07/26</t>
  </si>
  <si>
    <t>PCC Confirmation Meeting</t>
  </si>
  <si>
    <t>JOBPRO Review</t>
  </si>
  <si>
    <t>JGB Meeting 13/05/2026</t>
  </si>
  <si>
    <t>HR Meeting - 29/02</t>
  </si>
  <si>
    <t>JGB CR Meeting 29/06/2026</t>
  </si>
  <si>
    <t>Payroll Meeting - 25/06</t>
  </si>
  <si>
    <t>Review Meeting - 18/06/26</t>
  </si>
  <si>
    <t>WONJIN Subcontracting, Production</t>
  </si>
  <si>
    <t>Wonjin_ERP_19.12.2023</t>
  </si>
  <si>
    <t>Wonjin PAS-19/12/2025</t>
  </si>
  <si>
    <t>JGB User Permission discussion 14/05/26</t>
  </si>
  <si>
    <t>JGB Meeting 13/04/26</t>
  </si>
  <si>
    <t>QPIC Meeting 01/04/26</t>
  </si>
  <si>
    <t>Accounts Meeting - TPH and TOU</t>
  </si>
  <si>
    <t>Opening Balance KT and PR Review Meeting</t>
  </si>
  <si>
    <t xml:space="preserve">TASKAI - Review Meeting </t>
  </si>
  <si>
    <t>JGB_Meeting_161225</t>
  </si>
  <si>
    <t>Production Module - Demo (Condenser Assembly Department)</t>
  </si>
  <si>
    <t>Review Completed Points</t>
  </si>
  <si>
    <t>Subcontracting Review</t>
  </si>
  <si>
    <t>Subcontracting Review - 25-03-2026</t>
  </si>
  <si>
    <t>ITS (Week Plan) - W25 - 2026 - MOM</t>
  </si>
  <si>
    <t>JOBPRO - Review &amp; Brainstorm</t>
  </si>
  <si>
    <t>Website Meeting</t>
  </si>
  <si>
    <t>TSA_US Meeting 11/05/2026</t>
  </si>
  <si>
    <t>Accounting  MEERING - 23/04</t>
  </si>
  <si>
    <t>Galfar Review Meeting</t>
  </si>
  <si>
    <t>Production Module Review - 13-02-2026</t>
  </si>
  <si>
    <t>Customer Committment Review</t>
  </si>
  <si>
    <t>Review Meeting with Mr. Senthil</t>
  </si>
  <si>
    <t>Shaher Accounts Meeting -17/11/25</t>
  </si>
  <si>
    <t>JGB Meeting</t>
  </si>
  <si>
    <t>Completed Points Review - 21/04/26</t>
  </si>
  <si>
    <t>HR Points Review Meeting</t>
  </si>
  <si>
    <t>Technical Sheet PE Bag / Roll</t>
  </si>
  <si>
    <t xml:space="preserve">Recruitment Flow - Review </t>
  </si>
  <si>
    <t>JOHOKU - Payroll Support</t>
  </si>
  <si>
    <t>Norden Warehouse display meeting</t>
  </si>
  <si>
    <t>JGB Meeting 11/03/26</t>
  </si>
  <si>
    <t>JGB HR Points Review - 25/2/26</t>
  </si>
  <si>
    <t>JGB</t>
  </si>
  <si>
    <t>Review Meeting - 11/04</t>
  </si>
  <si>
    <t>HR Meeting and HSE Meeting</t>
  </si>
  <si>
    <t>Review Meeting - 28/03</t>
  </si>
  <si>
    <t>WONJIN - Points Discussion</t>
  </si>
  <si>
    <t>Project Budget -Review Meeting</t>
  </si>
  <si>
    <t>HRMS Training 13/03/2026</t>
  </si>
  <si>
    <t>Subcontracting Review &amp; AWS Server</t>
  </si>
  <si>
    <t>Issue on Production Entry - Review</t>
  </si>
  <si>
    <t>Meeting - TPH and TOU</t>
  </si>
  <si>
    <t>Internal REC Meeting 28/11/2025</t>
  </si>
  <si>
    <t>JGB HR Points Review - 23/12</t>
  </si>
  <si>
    <t>Electra 08-01-2026</t>
  </si>
  <si>
    <t>ELECTRA - 10-12-2025</t>
  </si>
  <si>
    <t>JMI Bill Summary and BY Points Meeting</t>
  </si>
  <si>
    <t>JMI HRPRO</t>
  </si>
  <si>
    <t>Hindustan Meeting - 07/02/2026</t>
  </si>
  <si>
    <t>GPLAST HR Review 19/01/2026</t>
  </si>
  <si>
    <t>Wonjin PAS &amp; NPD 08/12/2025</t>
  </si>
  <si>
    <t>DWSI Contractor Salary Register Review Meeting 02-02-2026</t>
  </si>
  <si>
    <t>JGB_Meeting_141225</t>
  </si>
  <si>
    <t>Gplast Meeting 11/12/2025</t>
  </si>
  <si>
    <t>BY Points Demo 05/12/2025</t>
  </si>
  <si>
    <t>Gplast Review Meeting 24/11/2025</t>
  </si>
  <si>
    <t>Gplast Check the OCT month Attendance 15/11/2025</t>
  </si>
  <si>
    <t>Gplast Review Meeting 02/12/2025</t>
  </si>
  <si>
    <t>Vendor Management 03/12/2025</t>
  </si>
  <si>
    <t>Gplast Meeting 12/11/2025</t>
  </si>
  <si>
    <t>Johoku HRMS MEETING - 15/10</t>
  </si>
  <si>
    <t>Gplast Salary Components</t>
  </si>
  <si>
    <t>SRS - SAHER 05/12/24</t>
  </si>
  <si>
    <t>JOHOKU HRMS MEETING 16/05/2025</t>
  </si>
  <si>
    <t>In Progress</t>
  </si>
  <si>
    <t>jothi.m@groupteampro.com</t>
  </si>
  <si>
    <t>jenisha.p@groupteampro.com</t>
  </si>
  <si>
    <t>divya.p@groupteampro.com</t>
  </si>
  <si>
    <t>abdulla.pi@groupteampro.com</t>
  </si>
  <si>
    <t>Administrator</t>
  </si>
  <si>
    <t>Planned</t>
  </si>
  <si>
    <t>SPRINT 72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</si>
</sst>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dd\-mm\-yyyy"/>
  </numFmts>
  <fonts count="15"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20"/>
      <color theme="1"/>
      <name val="Times New Roman"/>
      <family val="1"/>
    </font>
    <font>
      <b/>
      <sz val="14"/>
      <color theme="1"/>
      <name val="Times New Roman"/>
      <family val="1"/>
    </font>
    <font>
      <sz val="11"/>
      <color theme="1"/>
      <name val="Times New Roman"/>
      <family val="1"/>
    </font>
    <font>
      <b/>
      <sz val="11"/>
      <color theme="0"/>
      <name val="Times New Roman"/>
      <family val="1"/>
    </font>
    <font>
      <b/>
      <sz val="11"/>
      <color theme="1"/>
      <name val="Times New Roman"/>
      <family val="1"/>
    </font>
    <font>
      <sz val="11"/>
      <name val="Times New Roman"/>
      <family val="1"/>
    </font>
    <font>
      <sz val="11"/>
      <color rgb="FF110404"/>
      <name val="Times New Roman"/>
      <family val="1"/>
    </font>
    <font>
      <b/>
      <sz val="11"/>
      <color rgb="FFFFFFFF"/>
      <name val="Times New Roman"/>
      <family val="1"/>
    </font>
    <font>
      <sz val="11"/>
      <color rgb="FF110404"/>
      <name val="Times New Roman"/>
      <family val="1"/>
    </font>
    <font>
      <sz val="11"/>
      <color rgb="FF2059D4"/>
      <name val="Times New Roman"/>
      <family val="1"/>
    </font>
    <font>
      <sz val="11"/>
      <color rgb="FFF02E0C"/>
      <name val="Times New Roman"/>
      <family val="1"/>
    </font>
  </fonts>
  <fills count="12">
    <fill>
      <patternFill patternType="none"/>
    </fill>
    <fill>
      <patternFill patternType="gray125"/>
    </fill>
    <fill>
      <patternFill patternType="solid">
        <fgColor rgb="FF002060"/>
        <bgColor indexed="64"/>
      </patternFill>
    </fill>
    <fill>
      <patternFill patternType="solid">
        <fgColor rgb="FFE8EDEA"/>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F0000"/>
        <bgColor indexed="64"/>
      </patternFill>
    </fill>
    <fill>
      <patternFill patternType="solid">
        <fgColor theme="0"/>
        <bgColor indexed="64"/>
      </patternFill>
    </fill>
    <fill>
      <patternFill patternType="solid">
        <fgColor rgb="FF020C59"/>
        <bgColor indexed="64"/>
      </patternFill>
    </fill>
    <fill>
      <patternFill patternType="solid">
        <fgColor rgb="FFFFFFFF"/>
        <bgColor indexed="64"/>
      </patternFill>
    </fill>
    <fill>
      <patternFill patternType="solid">
        <fgColor theme="4" tint="0.79998168889431442"/>
        <bgColor theme="4" tint="0.79998168889431442"/>
      </patternFill>
    </fill>
    <fill>
      <patternFill patternType="solid">
        <fgColor rgb="FF002060"/>
        <bgColor theme="4"/>
      </patternFill>
    </fill>
  </fills>
  <borders count="17">
    <border>
      <left/>
      <right/>
      <top/>
      <bottom/>
      <diagonal/>
    </border>
    <border>
      <left style="thin">
        <color indexed="64"/>
      </left>
      <right/>
      <top/>
      <bottom/>
      <diagonal/>
    </border>
    <border>
      <left style="thin">
        <color theme="0"/>
      </left>
      <right style="thin">
        <color theme="0"/>
      </right>
      <top style="thin">
        <color theme="0"/>
      </top>
      <bottom style="thin">
        <color theme="0"/>
      </bottom>
      <diagonal/>
    </border>
    <border>
      <left style="thin">
        <color theme="0"/>
      </left>
      <right/>
      <top/>
      <bottom/>
      <diagonal/>
    </border>
    <border>
      <left style="thin">
        <color theme="0"/>
      </left>
      <right style="thin">
        <color theme="0"/>
      </right>
      <top style="thin">
        <color theme="0"/>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diagonal/>
    </border>
    <border>
      <left style="thin">
        <color theme="0"/>
      </left>
      <right/>
      <top style="thin">
        <color indexed="64"/>
      </top>
      <bottom style="thin">
        <color indexed="64"/>
      </bottom>
      <diagonal/>
    </border>
    <border>
      <left/>
      <right/>
      <top style="thin">
        <color indexed="64"/>
      </top>
      <bottom style="thin">
        <color indexed="64"/>
      </bottom>
      <diagonal/>
    </border>
    <border>
      <left/>
      <right style="thin">
        <color theme="0"/>
      </right>
      <top style="thin">
        <color indexed="64"/>
      </top>
      <bottom style="thin">
        <color indexed="64"/>
      </bottom>
      <diagonal/>
    </border>
    <border>
      <left style="thin">
        <color theme="0"/>
      </left>
      <right/>
      <top/>
      <bottom style="thin">
        <color indexed="64"/>
      </bottom>
      <diagonal/>
    </border>
    <border>
      <left/>
      <right/>
      <top/>
      <bottom style="thin">
        <color indexed="64"/>
      </bottom>
      <diagonal/>
    </border>
    <border>
      <left/>
      <right style="thin">
        <color theme="0"/>
      </right>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71">
    <xf numFmtId="0" fontId="0" fillId="0" borderId="0" xfId="0"/>
    <xf numFmtId="0" fontId="4" fillId="0" borderId="1" xfId="0" applyFont="1" applyBorder="1" applyAlignment="1">
      <alignment horizontal="center"/>
    </xf>
    <xf numFmtId="0" fontId="4" fillId="0" borderId="0" xfId="0" applyFont="1" applyBorder="1" applyAlignment="1">
      <alignment horizontal="center"/>
    </xf>
    <xf numFmtId="0" fontId="5" fillId="0" borderId="1" xfId="0" applyFont="1" applyBorder="1" applyAlignment="1">
      <alignment horizontal="center"/>
    </xf>
    <xf numFmtId="0" fontId="5" fillId="0" borderId="0" xfId="0" applyFont="1" applyBorder="1" applyAlignment="1">
      <alignment horizontal="center"/>
    </xf>
    <xf numFmtId="0" fontId="6" fillId="0" borderId="1" xfId="0" applyFont="1" applyBorder="1" applyAlignment="1">
      <alignment horizontal="center"/>
    </xf>
    <xf numFmtId="0" fontId="6" fillId="0" borderId="0" xfId="0" applyFont="1" applyBorder="1" applyAlignment="1">
      <alignment horizontal="center"/>
    </xf>
    <xf numFmtId="0" fontId="7" fillId="2" borderId="2" xfId="0" applyFont="1" applyFill="1" applyBorder="1" applyAlignment="1">
      <alignment horizontal="center" vertical="center"/>
    </xf>
    <xf numFmtId="0" fontId="7" fillId="2" borderId="2" xfId="0" applyFont="1" applyFill="1" applyBorder="1" applyAlignment="1">
      <alignment horizontal="center"/>
    </xf>
    <xf numFmtId="0" fontId="7" fillId="2" borderId="3" xfId="0" applyFont="1" applyFill="1" applyBorder="1" applyAlignment="1">
      <alignment horizontal="center"/>
    </xf>
    <xf numFmtId="0" fontId="7" fillId="2" borderId="0" xfId="0" applyFont="1" applyFill="1" applyBorder="1" applyAlignment="1">
      <alignment horizontal="center"/>
    </xf>
    <xf numFmtId="0" fontId="7" fillId="2" borderId="4" xfId="0" applyFont="1" applyFill="1" applyBorder="1" applyAlignment="1">
      <alignment horizontal="center" vertical="center"/>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8" fillId="5" borderId="6"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9" fillId="0" borderId="7" xfId="0" applyFont="1" applyBorder="1"/>
    <xf numFmtId="0" fontId="9" fillId="7" borderId="7" xfId="0" applyFont="1" applyFill="1" applyBorder="1"/>
    <xf numFmtId="0" fontId="10" fillId="7" borderId="7" xfId="0" applyFont="1" applyFill="1" applyBorder="1" applyAlignment="1">
      <alignment vertical="center" wrapText="1"/>
    </xf>
    <xf numFmtId="0" fontId="6" fillId="0" borderId="7" xfId="0" applyFont="1" applyBorder="1"/>
    <xf numFmtId="0" fontId="11" fillId="8" borderId="8" xfId="0" applyFont="1" applyFill="1" applyBorder="1" applyAlignment="1">
      <alignment horizontal="center" vertical="center" wrapText="1"/>
    </xf>
    <xf numFmtId="0" fontId="11" fillId="8" borderId="8" xfId="0" applyFont="1" applyFill="1" applyBorder="1" applyAlignment="1">
      <alignment horizontal="center" vertical="center" wrapText="1"/>
    </xf>
    <xf numFmtId="0" fontId="11" fillId="8" borderId="9" xfId="0" applyFont="1" applyFill="1" applyBorder="1" applyAlignment="1">
      <alignment horizontal="center" vertical="center" wrapText="1"/>
    </xf>
    <xf numFmtId="0" fontId="11" fillId="8" borderId="10" xfId="0" applyFont="1" applyFill="1" applyBorder="1" applyAlignment="1">
      <alignment horizontal="center" vertical="center" wrapText="1"/>
    </xf>
    <xf numFmtId="0" fontId="11" fillId="8" borderId="11"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12" fillId="9" borderId="7" xfId="0" applyFont="1" applyFill="1" applyBorder="1" applyAlignment="1">
      <alignment vertical="center" wrapText="1"/>
    </xf>
    <xf numFmtId="0" fontId="13" fillId="9" borderId="7" xfId="0" applyFont="1" applyFill="1" applyBorder="1" applyAlignment="1">
      <alignment vertical="center" wrapText="1"/>
    </xf>
    <xf numFmtId="0" fontId="12" fillId="3" borderId="7" xfId="0" applyFont="1" applyFill="1" applyBorder="1" applyAlignment="1">
      <alignment vertical="center" wrapText="1"/>
    </xf>
    <xf numFmtId="0" fontId="13" fillId="3" borderId="7" xfId="0" applyFont="1" applyFill="1" applyBorder="1" applyAlignment="1">
      <alignment vertical="center" wrapText="1"/>
    </xf>
    <xf numFmtId="0" fontId="0" fillId="0" borderId="0" xfId="0" applyAlignment="1"/>
    <xf numFmtId="14" fontId="0" fillId="0" borderId="0" xfId="0" applyNumberFormat="1" applyAlignment="1"/>
    <xf numFmtId="0" fontId="11" fillId="8" borderId="12" xfId="0" applyFont="1" applyFill="1" applyBorder="1" applyAlignment="1">
      <alignment horizontal="center" vertical="center" wrapText="1"/>
    </xf>
    <xf numFmtId="0" fontId="11" fillId="8" borderId="13" xfId="0" applyFont="1" applyFill="1" applyBorder="1" applyAlignment="1">
      <alignment horizontal="center" vertical="center" wrapText="1"/>
    </xf>
    <xf numFmtId="0" fontId="11" fillId="8" borderId="14" xfId="0" applyFont="1" applyFill="1" applyBorder="1" applyAlignment="1">
      <alignment horizontal="center" vertical="center" wrapText="1"/>
    </xf>
    <xf numFmtId="0" fontId="6" fillId="0" borderId="0" xfId="0" applyFont="1" applyBorder="1"/>
    <xf numFmtId="0" fontId="14" fillId="9" borderId="7" xfId="0" applyFont="1" applyFill="1" applyBorder="1" applyAlignment="1">
      <alignment vertical="center" wrapText="1"/>
    </xf>
    <xf numFmtId="0" fontId="0" fillId="0" borderId="7" xfId="0" applyBorder="1"/>
    <xf numFmtId="0" fontId="11" fillId="8" borderId="7" xfId="0" applyFont="1" applyFill="1" applyBorder="1" applyAlignment="1">
      <alignment horizontal="center" vertical="center" wrapText="1"/>
    </xf>
    <xf numFmtId="0" fontId="2" fillId="10" borderId="7" xfId="0" applyFont="1" applyFill="1" applyBorder="1"/>
    <xf numFmtId="0" fontId="2" fillId="0" borderId="7" xfId="0" applyFont="1" applyBorder="1" applyAlignment="1">
      <alignment horizontal="left"/>
    </xf>
    <xf numFmtId="0" fontId="2" fillId="0" borderId="7" xfId="0" applyNumberFormat="1" applyFont="1" applyBorder="1"/>
    <xf numFmtId="0" fontId="0" fillId="0" borderId="7" xfId="0" applyBorder="1" applyAlignment="1">
      <alignment horizontal="left" indent="1"/>
    </xf>
    <xf numFmtId="0" fontId="0" fillId="0" borderId="7" xfId="0" applyNumberFormat="1" applyBorder="1"/>
    <xf numFmtId="0" fontId="0" fillId="0" borderId="15" xfId="0" applyBorder="1" applyAlignment="1">
      <alignment horizontal="center"/>
    </xf>
    <xf numFmtId="0" fontId="2" fillId="10" borderId="7" xfId="0" applyFont="1" applyFill="1" applyBorder="1" applyAlignment="1">
      <alignment horizontal="left"/>
    </xf>
    <xf numFmtId="0" fontId="2" fillId="10" borderId="7" xfId="0" applyNumberFormat="1" applyFont="1" applyFill="1" applyBorder="1"/>
    <xf numFmtId="0" fontId="2" fillId="10" borderId="7" xfId="0" applyFont="1" applyFill="1" applyBorder="1" applyAlignment="1">
      <alignment horizontal="center"/>
    </xf>
    <xf numFmtId="0" fontId="1" fillId="11" borderId="7" xfId="0" applyFont="1" applyFill="1" applyBorder="1" applyAlignment="1"/>
    <xf numFmtId="0" fontId="1" fillId="11" borderId="7" xfId="0" applyFont="1" applyFill="1" applyBorder="1"/>
    <xf numFmtId="0" fontId="0" fillId="0" borderId="7" xfId="0" applyBorder="1" applyAlignment="1"/>
    <xf numFmtId="0" fontId="1" fillId="2" borderId="7" xfId="0" applyFont="1" applyFill="1" applyBorder="1" applyAlignment="1">
      <alignment horizontal="right"/>
    </xf>
    <xf numFmtId="0" fontId="1" fillId="2" borderId="7" xfId="0" applyFont="1" applyFill="1" applyBorder="1" applyAlignment="1">
      <alignment horizontal="left"/>
    </xf>
    <xf numFmtId="168" fontId="1" fillId="2" borderId="7" xfId="0" applyNumberFormat="1" applyFont="1" applyFill="1" applyBorder="1" applyAlignment="1">
      <alignment horizontal="right"/>
    </xf>
    <xf numFmtId="168" fontId="0" fillId="0" borderId="7" xfId="0" applyNumberFormat="1" applyBorder="1" applyAlignment="1">
      <alignment horizontal="right"/>
    </xf>
    <xf numFmtId="0" fontId="4" fillId="0" borderId="7" xfId="0" applyFont="1" applyBorder="1" applyAlignment="1">
      <alignment horizontal="center"/>
    </xf>
    <xf numFmtId="0" fontId="5" fillId="0" borderId="7" xfId="0" applyFont="1" applyBorder="1" applyAlignment="1">
      <alignment horizontal="center"/>
    </xf>
    <xf numFmtId="0" fontId="6" fillId="0" borderId="7" xfId="0" applyFont="1" applyBorder="1" applyAlignment="1">
      <alignment horizontal="center"/>
    </xf>
    <xf numFmtId="0" fontId="7" fillId="2" borderId="7" xfId="0" applyFont="1" applyFill="1" applyBorder="1" applyAlignment="1">
      <alignment vertical="center"/>
    </xf>
    <xf numFmtId="0" fontId="7" fillId="2" borderId="7" xfId="0" applyFont="1" applyFill="1" applyBorder="1"/>
    <xf numFmtId="0" fontId="9" fillId="7" borderId="7" xfId="0" applyFont="1" applyFill="1" applyBorder="1" applyAlignment="1">
      <alignment horizontal="right" vertical="center" wrapText="1"/>
    </xf>
    <xf numFmtId="0" fontId="7" fillId="2" borderId="16" xfId="0" applyFont="1" applyFill="1" applyBorder="1" applyAlignment="1">
      <alignment vertical="center"/>
    </xf>
    <xf numFmtId="0" fontId="7" fillId="2" borderId="16" xfId="0" applyFont="1" applyFill="1" applyBorder="1"/>
    <xf numFmtId="0" fontId="10" fillId="0" borderId="7" xfId="0" applyFont="1" applyBorder="1"/>
    <xf numFmtId="0" fontId="6" fillId="0" borderId="7" xfId="0" applyFont="1" applyBorder="1" applyAlignment="1">
      <alignment horizontal="right" vertical="center"/>
    </xf>
    <xf numFmtId="0" fontId="3" fillId="2" borderId="7" xfId="0" applyFont="1" applyFill="1" applyBorder="1" applyAlignment="1"/>
    <xf numFmtId="14" fontId="0" fillId="0" borderId="7" xfId="0" applyNumberForma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7"/>
  <sheetViews>
    <sheetView topLeftCell="A19" workbookViewId="0">
      <selection activeCell="U27" sqref="U27"/>
    </sheetView>
  </sheetViews>
  <sheetFormatPr defaultRowHeight="14.4" x14ac:dyDescent="0.3"/>
  <cols>
    <col min="4" max="4" width="12.5546875" bestFit="1" customWidth="1"/>
    <col min="9" max="9" width="12.5546875" customWidth="1"/>
  </cols>
  <sheetData>
    <row r="1" spans="1:20" ht="24.6" x14ac:dyDescent="0.4">
      <c r="A1" s="1" t="s">
        <v>24</v>
      </c>
      <c r="B1" s="2"/>
      <c r="C1" s="2"/>
      <c r="D1" s="2"/>
      <c r="E1" s="2"/>
      <c r="F1" s="2"/>
      <c r="G1" s="2"/>
      <c r="H1" s="2"/>
      <c r="I1" s="2"/>
      <c r="J1" s="2"/>
      <c r="K1" s="2"/>
      <c r="L1" s="2"/>
      <c r="M1" s="2"/>
      <c r="N1" s="2"/>
      <c r="O1" s="2"/>
      <c r="P1" s="2"/>
      <c r="Q1" s="2"/>
    </row>
    <row r="2" spans="1:20" ht="17.399999999999999" x14ac:dyDescent="0.3">
      <c r="A2" s="3" t="s">
        <v>0</v>
      </c>
      <c r="B2" s="4"/>
      <c r="C2" s="4"/>
      <c r="D2" s="4"/>
      <c r="E2" s="4"/>
      <c r="F2" s="4"/>
      <c r="G2" s="4"/>
      <c r="H2" s="4"/>
      <c r="I2" s="4"/>
      <c r="J2" s="4"/>
      <c r="K2" s="4"/>
      <c r="L2" s="4"/>
      <c r="M2" s="4"/>
      <c r="N2" s="4"/>
      <c r="O2" s="4"/>
      <c r="P2" s="4"/>
      <c r="Q2" s="4"/>
    </row>
    <row r="3" spans="1:20" x14ac:dyDescent="0.3">
      <c r="A3" s="5"/>
      <c r="B3" s="6"/>
      <c r="C3" s="6"/>
      <c r="D3" s="6"/>
      <c r="E3" s="6"/>
      <c r="F3" s="6"/>
      <c r="G3" s="6"/>
      <c r="H3" s="6"/>
      <c r="I3" s="6"/>
      <c r="J3" s="6"/>
      <c r="K3" s="6"/>
      <c r="L3" s="6"/>
      <c r="M3" s="6"/>
      <c r="N3" s="6"/>
      <c r="O3" s="6"/>
      <c r="P3" s="6"/>
      <c r="Q3" s="6"/>
    </row>
    <row r="4" spans="1:20" x14ac:dyDescent="0.3">
      <c r="A4" s="7" t="s">
        <v>1</v>
      </c>
      <c r="B4" s="7" t="s">
        <v>2</v>
      </c>
      <c r="C4" s="7" t="s">
        <v>3</v>
      </c>
      <c r="D4" s="8" t="s">
        <v>4</v>
      </c>
      <c r="E4" s="8"/>
      <c r="F4" s="8"/>
      <c r="G4" s="8"/>
      <c r="H4" s="8" t="s">
        <v>5</v>
      </c>
      <c r="I4" s="8"/>
      <c r="J4" s="8"/>
      <c r="K4" s="8"/>
      <c r="L4" s="9" t="s">
        <v>6</v>
      </c>
      <c r="M4" s="10"/>
      <c r="N4" s="10"/>
      <c r="O4" s="10"/>
      <c r="P4" s="10"/>
      <c r="Q4" s="10"/>
    </row>
    <row r="5" spans="1:20" ht="41.4" x14ac:dyDescent="0.3">
      <c r="A5" s="11"/>
      <c r="B5" s="11"/>
      <c r="C5" s="11"/>
      <c r="D5" s="12" t="s">
        <v>7</v>
      </c>
      <c r="E5" s="13" t="s">
        <v>8</v>
      </c>
      <c r="F5" s="13" t="s">
        <v>9</v>
      </c>
      <c r="G5" s="13" t="s">
        <v>10</v>
      </c>
      <c r="H5" s="13" t="s">
        <v>11</v>
      </c>
      <c r="I5" s="13" t="s">
        <v>12</v>
      </c>
      <c r="J5" s="13" t="s">
        <v>13</v>
      </c>
      <c r="K5" s="13" t="s">
        <v>14</v>
      </c>
      <c r="L5" s="13" t="s">
        <v>15</v>
      </c>
      <c r="M5" s="14" t="s">
        <v>16</v>
      </c>
      <c r="N5" s="14" t="s">
        <v>17</v>
      </c>
      <c r="O5" s="15" t="s">
        <v>18</v>
      </c>
      <c r="P5" s="15" t="s">
        <v>19</v>
      </c>
      <c r="Q5" s="16" t="s">
        <v>20</v>
      </c>
    </row>
    <row r="6" spans="1:20" x14ac:dyDescent="0.3">
      <c r="A6" s="17">
        <v>1</v>
      </c>
      <c r="B6" s="17" t="s">
        <v>21</v>
      </c>
      <c r="C6" s="18">
        <v>158</v>
      </c>
      <c r="D6" s="19">
        <v>92.3</v>
      </c>
      <c r="E6" s="19">
        <v>37.26</v>
      </c>
      <c r="F6" s="19">
        <v>7.25</v>
      </c>
      <c r="G6" s="19">
        <v>47.8</v>
      </c>
      <c r="H6" s="19">
        <v>62.86</v>
      </c>
      <c r="I6" s="19">
        <v>53.8</v>
      </c>
      <c r="J6" s="19">
        <v>5.5</v>
      </c>
      <c r="K6" s="19">
        <v>3.6</v>
      </c>
      <c r="L6" s="19">
        <f>D6+H6</f>
        <v>155.16</v>
      </c>
      <c r="M6" s="19">
        <f>E6+I6</f>
        <v>91.06</v>
      </c>
      <c r="N6" s="20">
        <f>SUM(N15:N18)</f>
        <v>139.28</v>
      </c>
      <c r="O6" s="20">
        <f>F6+J6</f>
        <v>12.75</v>
      </c>
      <c r="P6" s="20">
        <f>SUM(P15:P18)</f>
        <v>8.32</v>
      </c>
      <c r="Q6" s="20">
        <f>G6+K6</f>
        <v>51.4</v>
      </c>
    </row>
    <row r="7" spans="1:20" x14ac:dyDescent="0.3">
      <c r="A7" s="17">
        <v>2</v>
      </c>
      <c r="B7" s="17" t="s">
        <v>22</v>
      </c>
      <c r="C7" s="18">
        <v>68</v>
      </c>
      <c r="D7" s="19">
        <v>46.02</v>
      </c>
      <c r="E7" s="19">
        <v>7.75</v>
      </c>
      <c r="F7" s="19">
        <v>5.22</v>
      </c>
      <c r="G7" s="19">
        <v>33</v>
      </c>
      <c r="H7" s="19">
        <v>24.82</v>
      </c>
      <c r="I7" s="19">
        <v>20.32</v>
      </c>
      <c r="J7" s="19">
        <v>1.5</v>
      </c>
      <c r="K7" s="19">
        <v>3</v>
      </c>
      <c r="L7" s="19">
        <f>D7+H7</f>
        <v>70.84</v>
      </c>
      <c r="M7" s="19">
        <f t="shared" ref="M7" si="0">E7+I7</f>
        <v>28.07</v>
      </c>
      <c r="N7" s="20">
        <f>SUM(N22:N24)</f>
        <v>35.31</v>
      </c>
      <c r="O7" s="20">
        <f>F7+J7</f>
        <v>6.72</v>
      </c>
      <c r="P7" s="20">
        <f>SUM(R22:R24)</f>
        <v>0</v>
      </c>
      <c r="Q7" s="20">
        <f>G7+K7</f>
        <v>36</v>
      </c>
    </row>
    <row r="8" spans="1:20" x14ac:dyDescent="0.3">
      <c r="A8" s="17">
        <v>3</v>
      </c>
      <c r="B8" s="17" t="s">
        <v>23</v>
      </c>
      <c r="C8" s="18">
        <v>132</v>
      </c>
      <c r="D8" s="19">
        <v>119.66</v>
      </c>
      <c r="E8" s="19">
        <v>52.17</v>
      </c>
      <c r="F8" s="19">
        <v>8</v>
      </c>
      <c r="G8" s="19">
        <v>59.5</v>
      </c>
      <c r="H8" s="19">
        <v>18</v>
      </c>
      <c r="I8" s="19">
        <v>14</v>
      </c>
      <c r="J8" s="19">
        <v>0</v>
      </c>
      <c r="K8" s="19">
        <v>4</v>
      </c>
      <c r="L8" s="19">
        <f>D8+H8</f>
        <v>137.66</v>
      </c>
      <c r="M8" s="19">
        <f>E8+I8</f>
        <v>66.17</v>
      </c>
      <c r="N8" s="20">
        <f>SUM(N28:N30)</f>
        <v>102.7</v>
      </c>
      <c r="O8" s="20">
        <f>F8+J8</f>
        <v>8</v>
      </c>
      <c r="P8" s="20">
        <f>SUM(Q28:Q30)</f>
        <v>63.5</v>
      </c>
      <c r="Q8" s="20">
        <f>SUM(G8+K8)</f>
        <v>63.5</v>
      </c>
    </row>
    <row r="11" spans="1:20" x14ac:dyDescent="0.3">
      <c r="A11" s="3" t="s">
        <v>25</v>
      </c>
      <c r="B11" s="4"/>
      <c r="C11" s="4"/>
      <c r="D11" s="4"/>
      <c r="E11" s="4"/>
      <c r="F11" s="4"/>
      <c r="G11" s="4"/>
      <c r="H11" s="4"/>
      <c r="I11" s="4"/>
      <c r="J11" s="4"/>
      <c r="K11" s="4"/>
      <c r="L11" s="4"/>
      <c r="M11" s="4"/>
      <c r="N11" s="4"/>
      <c r="O11" s="4"/>
      <c r="P11" s="4"/>
      <c r="Q11" s="4"/>
      <c r="R11" s="4"/>
      <c r="S11" s="4"/>
      <c r="T11" s="4"/>
    </row>
    <row r="12" spans="1:20" x14ac:dyDescent="0.3">
      <c r="A12" s="3"/>
      <c r="B12" s="4"/>
      <c r="C12" s="4"/>
      <c r="D12" s="4"/>
      <c r="E12" s="4"/>
      <c r="F12" s="4"/>
      <c r="G12" s="4"/>
      <c r="H12" s="4"/>
      <c r="I12" s="4"/>
      <c r="J12" s="4"/>
      <c r="K12" s="4"/>
      <c r="L12" s="4"/>
      <c r="M12" s="4"/>
      <c r="N12" s="4"/>
      <c r="O12" s="4"/>
      <c r="P12" s="4"/>
      <c r="Q12" s="4"/>
      <c r="R12" s="4"/>
      <c r="S12" s="4"/>
      <c r="T12" s="4"/>
    </row>
    <row r="13" spans="1:20" ht="27.6" x14ac:dyDescent="0.3">
      <c r="A13" s="21" t="s">
        <v>21</v>
      </c>
      <c r="B13" s="22" t="s">
        <v>26</v>
      </c>
      <c r="C13" s="22"/>
      <c r="D13" s="22"/>
      <c r="E13" s="22"/>
      <c r="F13" s="22" t="s">
        <v>27</v>
      </c>
      <c r="G13" s="22"/>
      <c r="H13" s="22"/>
      <c r="I13" s="22"/>
      <c r="J13" s="23" t="s">
        <v>6</v>
      </c>
      <c r="K13" s="24"/>
      <c r="L13" s="24"/>
      <c r="M13" s="24"/>
      <c r="N13" s="24"/>
      <c r="O13" s="24"/>
      <c r="P13" s="24"/>
      <c r="Q13" s="25"/>
      <c r="R13" s="21" t="s">
        <v>28</v>
      </c>
      <c r="S13" s="21" t="s">
        <v>29</v>
      </c>
      <c r="T13" s="21" t="s">
        <v>30</v>
      </c>
    </row>
    <row r="14" spans="1:20" ht="55.2" x14ac:dyDescent="0.3">
      <c r="A14" s="26" t="s">
        <v>31</v>
      </c>
      <c r="B14" s="26" t="s">
        <v>7</v>
      </c>
      <c r="C14" s="26" t="s">
        <v>8</v>
      </c>
      <c r="D14" s="26" t="s">
        <v>9</v>
      </c>
      <c r="E14" s="26" t="s">
        <v>10</v>
      </c>
      <c r="F14" s="26" t="s">
        <v>11</v>
      </c>
      <c r="G14" s="26" t="s">
        <v>12</v>
      </c>
      <c r="H14" s="26" t="s">
        <v>13</v>
      </c>
      <c r="I14" s="26" t="s">
        <v>14</v>
      </c>
      <c r="J14" s="26" t="s">
        <v>15</v>
      </c>
      <c r="K14" s="26" t="s">
        <v>32</v>
      </c>
      <c r="L14" s="26" t="s">
        <v>33</v>
      </c>
      <c r="M14" s="27" t="s">
        <v>16</v>
      </c>
      <c r="N14" s="27" t="s">
        <v>17</v>
      </c>
      <c r="O14" s="28" t="s">
        <v>18</v>
      </c>
      <c r="P14" s="28" t="s">
        <v>19</v>
      </c>
      <c r="Q14" s="29" t="s">
        <v>20</v>
      </c>
      <c r="R14" s="26" t="s">
        <v>34</v>
      </c>
      <c r="S14" s="26" t="s">
        <v>35</v>
      </c>
      <c r="T14" s="26" t="s">
        <v>36</v>
      </c>
    </row>
    <row r="15" spans="1:20" x14ac:dyDescent="0.3">
      <c r="A15" s="30" t="s">
        <v>37</v>
      </c>
      <c r="B15" s="30">
        <v>38.590000000000003</v>
      </c>
      <c r="C15" s="30">
        <v>10.34</v>
      </c>
      <c r="D15" s="30">
        <v>0</v>
      </c>
      <c r="E15" s="30">
        <v>28.25</v>
      </c>
      <c r="F15" s="30">
        <v>17.61</v>
      </c>
      <c r="G15" s="30">
        <v>15.05</v>
      </c>
      <c r="H15" s="30">
        <v>0</v>
      </c>
      <c r="I15" s="30">
        <v>2.56</v>
      </c>
      <c r="J15" s="30">
        <v>56.2</v>
      </c>
      <c r="K15" s="30">
        <v>56.37</v>
      </c>
      <c r="L15" s="31">
        <v>35.799999999999997</v>
      </c>
      <c r="M15" s="30">
        <v>25.39</v>
      </c>
      <c r="N15" s="30">
        <v>35.700000000000003</v>
      </c>
      <c r="O15" s="30">
        <v>0</v>
      </c>
      <c r="P15" s="30">
        <v>0</v>
      </c>
      <c r="Q15" s="30">
        <v>30.81</v>
      </c>
      <c r="R15" s="30">
        <v>0</v>
      </c>
      <c r="S15" s="30">
        <v>0</v>
      </c>
      <c r="T15" s="20">
        <v>4.75</v>
      </c>
    </row>
    <row r="16" spans="1:20" x14ac:dyDescent="0.3">
      <c r="A16" s="32" t="s">
        <v>38</v>
      </c>
      <c r="B16" s="32">
        <v>27.62</v>
      </c>
      <c r="C16" s="32">
        <v>13.9</v>
      </c>
      <c r="D16" s="32">
        <v>3.25</v>
      </c>
      <c r="E16" s="32">
        <v>10.45</v>
      </c>
      <c r="F16" s="32">
        <v>14.25</v>
      </c>
      <c r="G16" s="32">
        <v>14.25</v>
      </c>
      <c r="H16" s="32">
        <v>0</v>
      </c>
      <c r="I16" s="32">
        <v>0</v>
      </c>
      <c r="J16" s="32">
        <v>41.87</v>
      </c>
      <c r="K16" s="32">
        <v>55.03</v>
      </c>
      <c r="L16" s="33">
        <v>38.04</v>
      </c>
      <c r="M16" s="32">
        <v>28.17</v>
      </c>
      <c r="N16" s="32">
        <v>33.78</v>
      </c>
      <c r="O16" s="32">
        <v>3.25</v>
      </c>
      <c r="P16" s="32">
        <v>3.79</v>
      </c>
      <c r="Q16" s="32">
        <v>10.45</v>
      </c>
      <c r="R16" s="32">
        <v>0</v>
      </c>
      <c r="S16" s="32">
        <v>0</v>
      </c>
      <c r="T16" s="20">
        <v>0.75</v>
      </c>
    </row>
    <row r="17" spans="1:21" x14ac:dyDescent="0.3">
      <c r="A17" s="30" t="s">
        <v>39</v>
      </c>
      <c r="B17" s="30">
        <v>17.09</v>
      </c>
      <c r="C17" s="30">
        <v>4</v>
      </c>
      <c r="D17" s="30">
        <v>4</v>
      </c>
      <c r="E17" s="30">
        <v>9.09</v>
      </c>
      <c r="F17" s="30">
        <v>8.5</v>
      </c>
      <c r="G17" s="30">
        <v>7</v>
      </c>
      <c r="H17" s="30">
        <v>1.5</v>
      </c>
      <c r="I17" s="30">
        <v>0</v>
      </c>
      <c r="J17" s="30">
        <v>25.59</v>
      </c>
      <c r="K17" s="30">
        <v>50.77</v>
      </c>
      <c r="L17" s="31">
        <v>27.07</v>
      </c>
      <c r="M17" s="30">
        <v>11</v>
      </c>
      <c r="N17" s="30">
        <v>24.58</v>
      </c>
      <c r="O17" s="30">
        <v>5.5</v>
      </c>
      <c r="P17" s="30">
        <v>2.15</v>
      </c>
      <c r="Q17" s="30">
        <v>9.09</v>
      </c>
      <c r="R17" s="30">
        <v>0</v>
      </c>
      <c r="S17" s="30">
        <v>0.5</v>
      </c>
      <c r="T17" s="20">
        <v>1.59</v>
      </c>
    </row>
    <row r="18" spans="1:21" x14ac:dyDescent="0.3">
      <c r="A18" s="32" t="s">
        <v>40</v>
      </c>
      <c r="B18" s="32">
        <v>9</v>
      </c>
      <c r="C18" s="32">
        <v>9</v>
      </c>
      <c r="D18" s="32">
        <v>0</v>
      </c>
      <c r="E18" s="32">
        <v>0</v>
      </c>
      <c r="F18" s="32">
        <v>22.5</v>
      </c>
      <c r="G18" s="32">
        <v>17.5</v>
      </c>
      <c r="H18" s="32">
        <v>4</v>
      </c>
      <c r="I18" s="32">
        <v>1</v>
      </c>
      <c r="J18" s="32">
        <v>31.5</v>
      </c>
      <c r="K18" s="32">
        <v>48.88</v>
      </c>
      <c r="L18" s="32">
        <v>47.6</v>
      </c>
      <c r="M18" s="32">
        <v>26.5</v>
      </c>
      <c r="N18" s="32">
        <v>45.22</v>
      </c>
      <c r="O18" s="32">
        <v>4</v>
      </c>
      <c r="P18" s="32">
        <v>2.38</v>
      </c>
      <c r="Q18" s="32">
        <v>1</v>
      </c>
      <c r="R18" s="32">
        <v>0</v>
      </c>
      <c r="S18" s="32">
        <v>0</v>
      </c>
      <c r="T18" s="20">
        <v>1.75</v>
      </c>
    </row>
    <row r="20" spans="1:21" ht="27.6" x14ac:dyDescent="0.3">
      <c r="A20" s="21" t="s">
        <v>22</v>
      </c>
      <c r="B20" s="22" t="s">
        <v>26</v>
      </c>
      <c r="C20" s="22"/>
      <c r="D20" s="22"/>
      <c r="E20" s="22"/>
      <c r="F20" s="22" t="s">
        <v>27</v>
      </c>
      <c r="G20" s="22"/>
      <c r="H20" s="22"/>
      <c r="I20" s="22"/>
      <c r="J20" s="36" t="s">
        <v>6</v>
      </c>
      <c r="K20" s="37"/>
      <c r="L20" s="37"/>
      <c r="M20" s="37"/>
      <c r="N20" s="37"/>
      <c r="O20" s="37"/>
      <c r="P20" s="37"/>
      <c r="Q20" s="38"/>
      <c r="R20" s="21" t="s">
        <v>28</v>
      </c>
      <c r="S20" s="21" t="s">
        <v>29</v>
      </c>
      <c r="T20" s="21" t="s">
        <v>30</v>
      </c>
    </row>
    <row r="21" spans="1:21" ht="55.2" x14ac:dyDescent="0.3">
      <c r="A21" s="26" t="s">
        <v>31</v>
      </c>
      <c r="B21" s="26" t="s">
        <v>7</v>
      </c>
      <c r="C21" s="26" t="s">
        <v>8</v>
      </c>
      <c r="D21" s="26" t="s">
        <v>9</v>
      </c>
      <c r="E21" s="26" t="s">
        <v>10</v>
      </c>
      <c r="F21" s="26" t="s">
        <v>11</v>
      </c>
      <c r="G21" s="26" t="s">
        <v>12</v>
      </c>
      <c r="H21" s="26" t="s">
        <v>13</v>
      </c>
      <c r="I21" s="26" t="s">
        <v>14</v>
      </c>
      <c r="J21" s="26" t="s">
        <v>15</v>
      </c>
      <c r="K21" s="26" t="s">
        <v>32</v>
      </c>
      <c r="L21" s="26" t="s">
        <v>33</v>
      </c>
      <c r="M21" s="27" t="s">
        <v>16</v>
      </c>
      <c r="N21" s="27" t="s">
        <v>17</v>
      </c>
      <c r="O21" s="28" t="s">
        <v>18</v>
      </c>
      <c r="P21" s="28" t="s">
        <v>19</v>
      </c>
      <c r="Q21" s="29" t="s">
        <v>20</v>
      </c>
      <c r="R21" s="26" t="s">
        <v>34</v>
      </c>
      <c r="S21" s="26" t="s">
        <v>35</v>
      </c>
      <c r="T21" s="26" t="s">
        <v>36</v>
      </c>
    </row>
    <row r="22" spans="1:21" x14ac:dyDescent="0.3">
      <c r="A22" s="30" t="s">
        <v>486</v>
      </c>
      <c r="B22" s="30">
        <v>17.760000000000002</v>
      </c>
      <c r="C22" s="30">
        <v>2.75</v>
      </c>
      <c r="D22" s="30">
        <v>5.22</v>
      </c>
      <c r="E22" s="30">
        <v>9.7899999999999991</v>
      </c>
      <c r="F22" s="30">
        <v>6.55</v>
      </c>
      <c r="G22" s="30">
        <v>4.05</v>
      </c>
      <c r="H22" s="30">
        <v>0.5</v>
      </c>
      <c r="I22" s="30">
        <v>2</v>
      </c>
      <c r="J22" s="30">
        <v>24.31</v>
      </c>
      <c r="K22" s="30">
        <v>27.58</v>
      </c>
      <c r="L22" s="31">
        <v>12.27</v>
      </c>
      <c r="M22" s="40">
        <v>6.8</v>
      </c>
      <c r="N22" s="40">
        <v>7.7</v>
      </c>
      <c r="O22" s="30">
        <v>5.72</v>
      </c>
      <c r="P22" s="30">
        <v>4.58</v>
      </c>
      <c r="Q22" s="30">
        <v>11.79</v>
      </c>
      <c r="R22" s="30">
        <v>0</v>
      </c>
      <c r="S22" s="30">
        <v>0</v>
      </c>
      <c r="T22" s="20">
        <v>5.05</v>
      </c>
    </row>
    <row r="23" spans="1:21" x14ac:dyDescent="0.3">
      <c r="A23" s="32" t="s">
        <v>487</v>
      </c>
      <c r="B23" s="32">
        <v>20.75</v>
      </c>
      <c r="C23" s="32">
        <v>5</v>
      </c>
      <c r="D23" s="32">
        <v>0</v>
      </c>
      <c r="E23" s="32">
        <v>15.75</v>
      </c>
      <c r="F23" s="32">
        <v>18.27</v>
      </c>
      <c r="G23" s="32">
        <v>16.27</v>
      </c>
      <c r="H23" s="32">
        <v>1</v>
      </c>
      <c r="I23" s="32">
        <v>1</v>
      </c>
      <c r="J23" s="32">
        <v>39.020000000000003</v>
      </c>
      <c r="K23" s="32">
        <v>57.87</v>
      </c>
      <c r="L23" s="33">
        <v>29.44</v>
      </c>
      <c r="M23" s="32">
        <v>21.27</v>
      </c>
      <c r="N23" s="32">
        <v>27.61</v>
      </c>
      <c r="O23" s="32">
        <v>1</v>
      </c>
      <c r="P23" s="32">
        <v>1.36</v>
      </c>
      <c r="Q23" s="32">
        <v>16.75</v>
      </c>
      <c r="R23" s="32">
        <v>0</v>
      </c>
      <c r="S23" s="32">
        <v>0</v>
      </c>
      <c r="T23" s="20">
        <v>3</v>
      </c>
    </row>
    <row r="24" spans="1:21" x14ac:dyDescent="0.3">
      <c r="A24" s="30" t="s">
        <v>488</v>
      </c>
      <c r="B24" s="30">
        <v>7.51</v>
      </c>
      <c r="C24" s="30">
        <v>0</v>
      </c>
      <c r="D24" s="30">
        <v>0</v>
      </c>
      <c r="E24" s="30">
        <v>7.51</v>
      </c>
      <c r="F24" s="30">
        <v>0</v>
      </c>
      <c r="G24" s="30">
        <v>0</v>
      </c>
      <c r="H24" s="30">
        <v>0</v>
      </c>
      <c r="I24" s="30">
        <v>0</v>
      </c>
      <c r="J24" s="30">
        <v>7.51</v>
      </c>
      <c r="K24" s="30">
        <v>0</v>
      </c>
      <c r="L24" s="31">
        <v>0</v>
      </c>
      <c r="M24" s="40">
        <v>0</v>
      </c>
      <c r="N24" s="40">
        <v>0</v>
      </c>
      <c r="O24" s="30">
        <v>0</v>
      </c>
      <c r="P24" s="30">
        <v>0</v>
      </c>
      <c r="Q24" s="30">
        <v>7.51</v>
      </c>
      <c r="R24" s="30">
        <v>0</v>
      </c>
      <c r="S24" s="30">
        <v>0</v>
      </c>
      <c r="T24" s="20"/>
    </row>
    <row r="25" spans="1:21" x14ac:dyDescent="0.3">
      <c r="T25" s="39"/>
    </row>
    <row r="26" spans="1:21" ht="27.6" x14ac:dyDescent="0.3">
      <c r="A26" s="21" t="s">
        <v>23</v>
      </c>
      <c r="B26" s="22" t="s">
        <v>26</v>
      </c>
      <c r="C26" s="22"/>
      <c r="D26" s="22"/>
      <c r="E26" s="22"/>
      <c r="F26" s="22" t="s">
        <v>27</v>
      </c>
      <c r="G26" s="22"/>
      <c r="H26" s="22"/>
      <c r="I26" s="22"/>
      <c r="J26" s="36" t="s">
        <v>6</v>
      </c>
      <c r="K26" s="37"/>
      <c r="L26" s="37"/>
      <c r="M26" s="37"/>
      <c r="N26" s="37"/>
      <c r="O26" s="37"/>
      <c r="P26" s="37"/>
      <c r="Q26" s="38"/>
      <c r="R26" s="21" t="s">
        <v>28</v>
      </c>
      <c r="S26" s="21" t="s">
        <v>29</v>
      </c>
      <c r="T26" s="21" t="s">
        <v>30</v>
      </c>
    </row>
    <row r="27" spans="1:21" ht="55.2" x14ac:dyDescent="0.3">
      <c r="A27" s="26" t="s">
        <v>31</v>
      </c>
      <c r="B27" s="26" t="s">
        <v>7</v>
      </c>
      <c r="C27" s="26" t="s">
        <v>741</v>
      </c>
      <c r="D27" s="26" t="s">
        <v>742</v>
      </c>
      <c r="E27" s="26" t="s">
        <v>10</v>
      </c>
      <c r="F27" s="26" t="s">
        <v>11</v>
      </c>
      <c r="G27" s="26" t="s">
        <v>12</v>
      </c>
      <c r="H27" s="26" t="s">
        <v>743</v>
      </c>
      <c r="I27" s="26" t="s">
        <v>744</v>
      </c>
      <c r="J27" s="26" t="s">
        <v>15</v>
      </c>
      <c r="K27" s="26" t="s">
        <v>32</v>
      </c>
      <c r="L27" s="26" t="s">
        <v>33</v>
      </c>
      <c r="M27" s="27" t="s">
        <v>16</v>
      </c>
      <c r="N27" s="27" t="s">
        <v>17</v>
      </c>
      <c r="O27" s="28" t="s">
        <v>18</v>
      </c>
      <c r="P27" s="28" t="s">
        <v>19</v>
      </c>
      <c r="Q27" s="29" t="s">
        <v>20</v>
      </c>
      <c r="R27" s="26" t="s">
        <v>34</v>
      </c>
      <c r="S27" s="26" t="s">
        <v>35</v>
      </c>
      <c r="T27" s="26" t="s">
        <v>36</v>
      </c>
    </row>
    <row r="28" spans="1:21" x14ac:dyDescent="0.3">
      <c r="A28" s="30" t="s">
        <v>745</v>
      </c>
      <c r="B28" s="30">
        <v>16.5</v>
      </c>
      <c r="C28" s="30">
        <v>1</v>
      </c>
      <c r="D28" s="30">
        <v>0</v>
      </c>
      <c r="E28" s="30">
        <v>15.5</v>
      </c>
      <c r="F28" s="30">
        <v>0</v>
      </c>
      <c r="G28" s="30">
        <v>0</v>
      </c>
      <c r="H28" s="30">
        <v>0</v>
      </c>
      <c r="I28" s="30">
        <v>0</v>
      </c>
      <c r="J28" s="30">
        <v>16.5</v>
      </c>
      <c r="K28" s="30">
        <v>66.77</v>
      </c>
      <c r="L28" s="31">
        <v>48.36</v>
      </c>
      <c r="M28" s="40">
        <v>1</v>
      </c>
      <c r="N28" s="40">
        <v>15.39</v>
      </c>
      <c r="O28" s="30">
        <v>0</v>
      </c>
      <c r="P28" s="30">
        <v>0</v>
      </c>
      <c r="Q28" s="30">
        <v>15.5</v>
      </c>
      <c r="R28" s="30">
        <v>0</v>
      </c>
      <c r="S28" s="30">
        <v>0</v>
      </c>
      <c r="T28" s="20"/>
    </row>
    <row r="29" spans="1:21" x14ac:dyDescent="0.3">
      <c r="A29" s="32" t="s">
        <v>746</v>
      </c>
      <c r="B29" s="32">
        <v>58.07</v>
      </c>
      <c r="C29" s="32">
        <v>27.07</v>
      </c>
      <c r="D29" s="32">
        <v>0</v>
      </c>
      <c r="E29" s="32">
        <v>31</v>
      </c>
      <c r="F29" s="32">
        <v>10</v>
      </c>
      <c r="G29" s="32">
        <v>6</v>
      </c>
      <c r="H29" s="32">
        <v>0</v>
      </c>
      <c r="I29" s="32">
        <v>4</v>
      </c>
      <c r="J29" s="32">
        <v>68.069999999999993</v>
      </c>
      <c r="K29" s="32">
        <v>67.08</v>
      </c>
      <c r="L29" s="33">
        <v>47.16</v>
      </c>
      <c r="M29" s="32">
        <v>33.07</v>
      </c>
      <c r="N29" s="32">
        <v>47.17</v>
      </c>
      <c r="O29" s="32">
        <v>0</v>
      </c>
      <c r="P29" s="32">
        <v>0</v>
      </c>
      <c r="Q29" s="32">
        <v>35</v>
      </c>
      <c r="R29" s="32">
        <v>0</v>
      </c>
      <c r="S29" s="32">
        <v>0</v>
      </c>
      <c r="T29" s="20">
        <v>2</v>
      </c>
    </row>
    <row r="30" spans="1:21" x14ac:dyDescent="0.3">
      <c r="A30" s="30" t="s">
        <v>747</v>
      </c>
      <c r="B30" s="30">
        <v>45.1</v>
      </c>
      <c r="C30" s="30">
        <v>24.1</v>
      </c>
      <c r="D30" s="30">
        <v>8</v>
      </c>
      <c r="E30" s="30">
        <v>13</v>
      </c>
      <c r="F30" s="30">
        <v>8</v>
      </c>
      <c r="G30" s="30">
        <v>8</v>
      </c>
      <c r="H30" s="30">
        <v>0</v>
      </c>
      <c r="I30" s="30">
        <v>0</v>
      </c>
      <c r="J30" s="30">
        <v>53.1</v>
      </c>
      <c r="K30" s="30">
        <v>58.28</v>
      </c>
      <c r="L30" s="31">
        <v>41.62</v>
      </c>
      <c r="M30" s="30">
        <v>32.1</v>
      </c>
      <c r="N30" s="30">
        <v>40.14</v>
      </c>
      <c r="O30" s="30">
        <v>8</v>
      </c>
      <c r="P30" s="30">
        <v>1.48</v>
      </c>
      <c r="Q30" s="30">
        <v>13</v>
      </c>
      <c r="R30" s="30">
        <v>0</v>
      </c>
      <c r="S30" s="30">
        <v>0</v>
      </c>
      <c r="T30" s="20">
        <v>2</v>
      </c>
    </row>
    <row r="32" spans="1:21" x14ac:dyDescent="0.3">
      <c r="A32" s="42" t="s">
        <v>876</v>
      </c>
      <c r="B32" s="42"/>
      <c r="C32" s="42"/>
      <c r="D32" s="42"/>
      <c r="F32" s="42" t="s">
        <v>882</v>
      </c>
      <c r="G32" s="42"/>
      <c r="H32" s="42"/>
      <c r="I32" s="42"/>
      <c r="K32" s="42" t="s">
        <v>883</v>
      </c>
      <c r="L32" s="42"/>
      <c r="M32" s="42"/>
      <c r="N32" s="42"/>
      <c r="O32" s="42"/>
      <c r="Q32" s="42" t="s">
        <v>884</v>
      </c>
      <c r="R32" s="42"/>
      <c r="S32" s="42"/>
      <c r="T32" s="42"/>
      <c r="U32" s="42"/>
    </row>
    <row r="33" spans="1:21" x14ac:dyDescent="0.3">
      <c r="A33" s="43" t="s">
        <v>2</v>
      </c>
      <c r="B33" s="43" t="s">
        <v>877</v>
      </c>
      <c r="C33" s="43" t="s">
        <v>878</v>
      </c>
      <c r="D33" s="43" t="s">
        <v>879</v>
      </c>
      <c r="F33" s="43" t="s">
        <v>2</v>
      </c>
      <c r="G33" s="43" t="s">
        <v>877</v>
      </c>
      <c r="H33" s="43" t="s">
        <v>878</v>
      </c>
      <c r="I33" s="43" t="s">
        <v>879</v>
      </c>
      <c r="K33" s="43"/>
      <c r="L33" s="51" t="s">
        <v>877</v>
      </c>
      <c r="M33" s="51"/>
      <c r="N33" s="51" t="s">
        <v>879</v>
      </c>
      <c r="O33" s="51"/>
      <c r="Q33" s="43"/>
      <c r="R33" s="43" t="s">
        <v>877</v>
      </c>
      <c r="S33" s="43"/>
      <c r="T33" s="43" t="s">
        <v>879</v>
      </c>
      <c r="U33" s="43"/>
    </row>
    <row r="34" spans="1:21" x14ac:dyDescent="0.3">
      <c r="A34" s="44" t="s">
        <v>485</v>
      </c>
      <c r="B34" s="45">
        <v>2.5</v>
      </c>
      <c r="C34" s="45">
        <v>4.08</v>
      </c>
      <c r="D34" s="45">
        <v>3</v>
      </c>
      <c r="F34" s="44" t="s">
        <v>485</v>
      </c>
      <c r="G34" s="45">
        <v>17.560000000000002</v>
      </c>
      <c r="H34" s="45">
        <v>67.290000000000006</v>
      </c>
      <c r="I34" s="45">
        <v>19</v>
      </c>
      <c r="K34" s="43" t="s">
        <v>2</v>
      </c>
      <c r="L34" s="43" t="s">
        <v>77</v>
      </c>
      <c r="M34" s="43" t="s">
        <v>257</v>
      </c>
      <c r="N34" s="43" t="s">
        <v>77</v>
      </c>
      <c r="O34" s="43" t="s">
        <v>257</v>
      </c>
      <c r="Q34" s="43" t="s">
        <v>2</v>
      </c>
      <c r="R34" s="43" t="s">
        <v>77</v>
      </c>
      <c r="S34" s="43" t="s">
        <v>257</v>
      </c>
      <c r="T34" s="43" t="s">
        <v>77</v>
      </c>
      <c r="U34" s="43" t="s">
        <v>257</v>
      </c>
    </row>
    <row r="35" spans="1:21" x14ac:dyDescent="0.3">
      <c r="A35" s="46" t="s">
        <v>39</v>
      </c>
      <c r="B35" s="47">
        <v>0.5</v>
      </c>
      <c r="C35" s="47">
        <v>0.8</v>
      </c>
      <c r="D35" s="47">
        <v>1</v>
      </c>
      <c r="F35" s="46" t="s">
        <v>39</v>
      </c>
      <c r="G35" s="47">
        <v>4.5</v>
      </c>
      <c r="H35" s="47">
        <v>16.88</v>
      </c>
      <c r="I35" s="47">
        <v>4</v>
      </c>
      <c r="K35" s="44" t="s">
        <v>485</v>
      </c>
      <c r="L35" s="45">
        <v>13.5</v>
      </c>
      <c r="M35" s="41"/>
      <c r="N35" s="45">
        <v>4</v>
      </c>
      <c r="O35" s="41"/>
      <c r="Q35" s="44" t="s">
        <v>485</v>
      </c>
      <c r="R35" s="45">
        <v>17.260000000000002</v>
      </c>
      <c r="S35" s="45"/>
      <c r="T35" s="45">
        <v>10</v>
      </c>
      <c r="U35" s="45"/>
    </row>
    <row r="36" spans="1:21" x14ac:dyDescent="0.3">
      <c r="A36" s="46" t="s">
        <v>37</v>
      </c>
      <c r="B36" s="47">
        <v>2</v>
      </c>
      <c r="C36" s="47">
        <v>3.2800000000000002</v>
      </c>
      <c r="D36" s="47">
        <v>2</v>
      </c>
      <c r="F36" s="46" t="s">
        <v>40</v>
      </c>
      <c r="G36" s="47">
        <v>3</v>
      </c>
      <c r="H36" s="47">
        <v>22.52</v>
      </c>
      <c r="I36" s="47">
        <v>3</v>
      </c>
      <c r="K36" s="46" t="s">
        <v>39</v>
      </c>
      <c r="L36" s="47">
        <v>8.5</v>
      </c>
      <c r="M36" s="41"/>
      <c r="N36" s="47">
        <v>2</v>
      </c>
      <c r="O36" s="41"/>
      <c r="Q36" s="46" t="s">
        <v>39</v>
      </c>
      <c r="R36" s="47">
        <v>9.09</v>
      </c>
      <c r="S36" s="47"/>
      <c r="T36" s="47">
        <v>5</v>
      </c>
      <c r="U36" s="47"/>
    </row>
    <row r="37" spans="1:21" x14ac:dyDescent="0.3">
      <c r="A37" s="44" t="s">
        <v>740</v>
      </c>
      <c r="B37" s="45">
        <v>0.5</v>
      </c>
      <c r="C37" s="45">
        <v>1.1499999999999999</v>
      </c>
      <c r="D37" s="45">
        <v>1</v>
      </c>
      <c r="F37" s="46" t="s">
        <v>37</v>
      </c>
      <c r="G37" s="47">
        <v>6.3900000000000006</v>
      </c>
      <c r="H37" s="47">
        <v>18.54</v>
      </c>
      <c r="I37" s="47">
        <v>8</v>
      </c>
      <c r="K37" s="46" t="s">
        <v>37</v>
      </c>
      <c r="L37" s="47">
        <v>5</v>
      </c>
      <c r="M37" s="41"/>
      <c r="N37" s="47">
        <v>2</v>
      </c>
      <c r="O37" s="41"/>
      <c r="Q37" s="46" t="s">
        <v>37</v>
      </c>
      <c r="R37" s="47">
        <v>5.2200000000000006</v>
      </c>
      <c r="S37" s="47"/>
      <c r="T37" s="47">
        <v>4</v>
      </c>
      <c r="U37" s="47"/>
    </row>
    <row r="38" spans="1:21" x14ac:dyDescent="0.3">
      <c r="A38" s="46" t="s">
        <v>487</v>
      </c>
      <c r="B38" s="47">
        <v>0.5</v>
      </c>
      <c r="C38" s="47">
        <v>1.1499999999999999</v>
      </c>
      <c r="D38" s="47">
        <v>1</v>
      </c>
      <c r="F38" s="46" t="s">
        <v>38</v>
      </c>
      <c r="G38" s="47">
        <v>3.67</v>
      </c>
      <c r="H38" s="47">
        <v>9.35</v>
      </c>
      <c r="I38" s="47">
        <v>4</v>
      </c>
      <c r="K38" s="44" t="s">
        <v>875</v>
      </c>
      <c r="L38" s="45">
        <v>15.5</v>
      </c>
      <c r="M38" s="41"/>
      <c r="N38" s="45">
        <v>5</v>
      </c>
      <c r="O38" s="41"/>
      <c r="Q38" s="46" t="s">
        <v>38</v>
      </c>
      <c r="R38" s="47">
        <v>2.95</v>
      </c>
      <c r="S38" s="47"/>
      <c r="T38" s="47">
        <v>1</v>
      </c>
      <c r="U38" s="47"/>
    </row>
    <row r="39" spans="1:21" x14ac:dyDescent="0.3">
      <c r="A39" s="49" t="s">
        <v>880</v>
      </c>
      <c r="B39" s="50">
        <v>3</v>
      </c>
      <c r="C39" s="50">
        <v>5.23</v>
      </c>
      <c r="D39" s="50">
        <v>4</v>
      </c>
      <c r="F39" s="44" t="s">
        <v>875</v>
      </c>
      <c r="G39" s="45">
        <v>25.17</v>
      </c>
      <c r="H39" s="45">
        <v>74.609999999999985</v>
      </c>
      <c r="I39" s="45">
        <v>10</v>
      </c>
      <c r="K39" s="46" t="s">
        <v>746</v>
      </c>
      <c r="L39" s="47">
        <v>9</v>
      </c>
      <c r="M39" s="41"/>
      <c r="N39" s="47">
        <v>3</v>
      </c>
      <c r="O39" s="41"/>
      <c r="Q39" s="44" t="s">
        <v>875</v>
      </c>
      <c r="R39" s="45">
        <v>15.5</v>
      </c>
      <c r="S39" s="45"/>
      <c r="T39" s="45">
        <v>5</v>
      </c>
      <c r="U39" s="45"/>
    </row>
    <row r="40" spans="1:21" x14ac:dyDescent="0.3">
      <c r="A40" s="48" t="s">
        <v>881</v>
      </c>
      <c r="B40" s="48"/>
      <c r="C40" s="48"/>
      <c r="D40" s="48"/>
      <c r="F40" s="46" t="s">
        <v>746</v>
      </c>
      <c r="G40" s="47">
        <v>10.07</v>
      </c>
      <c r="H40" s="47">
        <v>28.64</v>
      </c>
      <c r="I40" s="47">
        <v>4</v>
      </c>
      <c r="K40" s="46" t="s">
        <v>745</v>
      </c>
      <c r="L40" s="47">
        <v>6.5</v>
      </c>
      <c r="M40" s="41"/>
      <c r="N40" s="47">
        <v>2</v>
      </c>
      <c r="O40" s="41"/>
      <c r="Q40" s="46" t="s">
        <v>746</v>
      </c>
      <c r="R40" s="47">
        <v>9</v>
      </c>
      <c r="S40" s="47"/>
      <c r="T40" s="47">
        <v>3</v>
      </c>
      <c r="U40" s="47"/>
    </row>
    <row r="41" spans="1:21" x14ac:dyDescent="0.3">
      <c r="F41" s="46" t="s">
        <v>745</v>
      </c>
      <c r="G41" s="47">
        <v>1</v>
      </c>
      <c r="H41" s="47">
        <v>22.119999999999997</v>
      </c>
      <c r="I41" s="47">
        <v>2</v>
      </c>
      <c r="K41" s="44" t="s">
        <v>740</v>
      </c>
      <c r="L41" s="45">
        <v>3</v>
      </c>
      <c r="M41" s="41"/>
      <c r="N41" s="45">
        <v>6</v>
      </c>
      <c r="O41" s="41"/>
      <c r="Q41" s="46" t="s">
        <v>745</v>
      </c>
      <c r="R41" s="47">
        <v>6.5</v>
      </c>
      <c r="S41" s="47"/>
      <c r="T41" s="47">
        <v>2</v>
      </c>
      <c r="U41" s="47"/>
    </row>
    <row r="42" spans="1:21" x14ac:dyDescent="0.3">
      <c r="F42" s="46" t="s">
        <v>747</v>
      </c>
      <c r="G42" s="47">
        <v>14.1</v>
      </c>
      <c r="H42" s="47">
        <v>23.849999999999998</v>
      </c>
      <c r="I42" s="47">
        <v>4</v>
      </c>
      <c r="K42" s="46" t="s">
        <v>488</v>
      </c>
      <c r="L42" s="47">
        <v>0.5</v>
      </c>
      <c r="M42" s="41"/>
      <c r="N42" s="47">
        <v>1</v>
      </c>
      <c r="O42" s="41"/>
      <c r="Q42" s="44" t="s">
        <v>740</v>
      </c>
      <c r="R42" s="45">
        <v>3.01</v>
      </c>
      <c r="S42" s="45">
        <v>0.04</v>
      </c>
      <c r="T42" s="45">
        <v>10</v>
      </c>
      <c r="U42" s="45">
        <v>2</v>
      </c>
    </row>
    <row r="43" spans="1:21" x14ac:dyDescent="0.3">
      <c r="F43" s="44" t="s">
        <v>740</v>
      </c>
      <c r="G43" s="45">
        <v>3.9699999999999998</v>
      </c>
      <c r="H43" s="45">
        <v>8.2000000000000011</v>
      </c>
      <c r="I43" s="45">
        <v>5</v>
      </c>
      <c r="K43" s="46" t="s">
        <v>486</v>
      </c>
      <c r="L43" s="47">
        <v>1.5</v>
      </c>
      <c r="M43" s="41"/>
      <c r="N43" s="47">
        <v>4</v>
      </c>
      <c r="O43" s="41"/>
      <c r="Q43" s="46" t="s">
        <v>488</v>
      </c>
      <c r="R43" s="47">
        <v>0.51</v>
      </c>
      <c r="S43" s="47"/>
      <c r="T43" s="47">
        <v>3</v>
      </c>
      <c r="U43" s="47"/>
    </row>
    <row r="44" spans="1:21" x14ac:dyDescent="0.3">
      <c r="F44" s="46" t="s">
        <v>486</v>
      </c>
      <c r="G44" s="47">
        <v>1.72</v>
      </c>
      <c r="H44" s="47">
        <v>3.42</v>
      </c>
      <c r="I44" s="47">
        <v>2</v>
      </c>
      <c r="K44" s="46" t="s">
        <v>487</v>
      </c>
      <c r="L44" s="47">
        <v>1</v>
      </c>
      <c r="M44" s="41"/>
      <c r="N44" s="47">
        <v>1</v>
      </c>
      <c r="O44" s="41"/>
      <c r="Q44" s="46" t="s">
        <v>486</v>
      </c>
      <c r="R44" s="47">
        <v>1.75</v>
      </c>
      <c r="S44" s="47">
        <v>0.04</v>
      </c>
      <c r="T44" s="47">
        <v>6</v>
      </c>
      <c r="U44" s="47">
        <v>1</v>
      </c>
    </row>
    <row r="45" spans="1:21" x14ac:dyDescent="0.3">
      <c r="F45" s="46" t="s">
        <v>487</v>
      </c>
      <c r="G45" s="47">
        <v>2.25</v>
      </c>
      <c r="H45" s="47">
        <v>4.78</v>
      </c>
      <c r="I45" s="47">
        <v>3</v>
      </c>
      <c r="K45" s="49" t="s">
        <v>880</v>
      </c>
      <c r="L45" s="50">
        <v>32</v>
      </c>
      <c r="M45" s="41"/>
      <c r="N45" s="50">
        <v>15</v>
      </c>
      <c r="O45" s="41"/>
      <c r="Q45" s="46" t="s">
        <v>487</v>
      </c>
      <c r="R45" s="47">
        <v>0.75</v>
      </c>
      <c r="S45" s="47">
        <v>0</v>
      </c>
      <c r="T45" s="47">
        <v>1</v>
      </c>
      <c r="U45" s="47">
        <v>1</v>
      </c>
    </row>
    <row r="46" spans="1:21" x14ac:dyDescent="0.3">
      <c r="F46" s="49" t="s">
        <v>880</v>
      </c>
      <c r="G46" s="50">
        <v>46.7</v>
      </c>
      <c r="H46" s="50">
        <v>150.10000000000002</v>
      </c>
      <c r="I46" s="50">
        <v>34</v>
      </c>
      <c r="Q46" s="49" t="s">
        <v>880</v>
      </c>
      <c r="R46" s="50">
        <v>35.770000000000003</v>
      </c>
      <c r="S46" s="50">
        <v>0.04</v>
      </c>
      <c r="T46" s="50">
        <v>25</v>
      </c>
      <c r="U46" s="50">
        <v>2</v>
      </c>
    </row>
    <row r="47" spans="1:21" x14ac:dyDescent="0.3">
      <c r="F47" s="48" t="s">
        <v>885</v>
      </c>
      <c r="G47" s="48"/>
      <c r="H47" s="48"/>
      <c r="I47" s="48"/>
    </row>
  </sheetData>
  <mergeCells count="27">
    <mergeCell ref="F47:I47"/>
    <mergeCell ref="B26:E26"/>
    <mergeCell ref="F26:I26"/>
    <mergeCell ref="J26:Q26"/>
    <mergeCell ref="A32:D32"/>
    <mergeCell ref="A40:D40"/>
    <mergeCell ref="F32:I32"/>
    <mergeCell ref="K32:O32"/>
    <mergeCell ref="L33:M33"/>
    <mergeCell ref="N33:O33"/>
    <mergeCell ref="Q32:U32"/>
    <mergeCell ref="A11:T12"/>
    <mergeCell ref="B13:E13"/>
    <mergeCell ref="F13:I13"/>
    <mergeCell ref="J13:Q13"/>
    <mergeCell ref="B20:E20"/>
    <mergeCell ref="F20:I20"/>
    <mergeCell ref="J20:Q20"/>
    <mergeCell ref="A1:Q1"/>
    <mergeCell ref="A2:Q2"/>
    <mergeCell ref="A3:Q3"/>
    <mergeCell ref="A4:A5"/>
    <mergeCell ref="B4:B5"/>
    <mergeCell ref="C4:C5"/>
    <mergeCell ref="D4:G4"/>
    <mergeCell ref="H4:K4"/>
    <mergeCell ref="L4:Q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28"/>
  <sheetViews>
    <sheetView tabSelected="1" workbookViewId="0">
      <selection activeCell="F19" sqref="F19"/>
    </sheetView>
  </sheetViews>
  <sheetFormatPr defaultRowHeight="14.4" x14ac:dyDescent="0.3"/>
  <cols>
    <col min="6" max="6" width="40.109375" customWidth="1"/>
  </cols>
  <sheetData>
    <row r="1" spans="1:28" x14ac:dyDescent="0.3">
      <c r="A1" s="69" t="s">
        <v>1</v>
      </c>
      <c r="B1" s="69" t="s">
        <v>2</v>
      </c>
      <c r="C1" s="69" t="s">
        <v>41</v>
      </c>
      <c r="D1" s="69" t="s">
        <v>42</v>
      </c>
      <c r="E1" s="69" t="s">
        <v>43</v>
      </c>
      <c r="F1" s="69" t="s">
        <v>44</v>
      </c>
      <c r="G1" s="69" t="s">
        <v>31</v>
      </c>
      <c r="H1" s="69" t="s">
        <v>45</v>
      </c>
      <c r="I1" s="69" t="s">
        <v>46</v>
      </c>
      <c r="J1" s="69" t="s">
        <v>47</v>
      </c>
      <c r="K1" s="69" t="s">
        <v>33</v>
      </c>
      <c r="L1" s="69" t="s">
        <v>48</v>
      </c>
      <c r="M1" s="69" t="s">
        <v>49</v>
      </c>
      <c r="N1" s="69" t="s">
        <v>50</v>
      </c>
      <c r="O1" s="69" t="s">
        <v>51</v>
      </c>
      <c r="P1" s="69" t="s">
        <v>52</v>
      </c>
      <c r="Q1" s="69" t="s">
        <v>53</v>
      </c>
      <c r="R1" s="69" t="s">
        <v>54</v>
      </c>
      <c r="S1" s="69" t="s">
        <v>55</v>
      </c>
      <c r="T1" s="69" t="s">
        <v>56</v>
      </c>
      <c r="U1" s="69" t="s">
        <v>57</v>
      </c>
      <c r="V1" s="69" t="s">
        <v>58</v>
      </c>
      <c r="W1" s="69" t="s">
        <v>59</v>
      </c>
      <c r="X1" s="69" t="s">
        <v>60</v>
      </c>
      <c r="Y1" s="69" t="s">
        <v>61</v>
      </c>
      <c r="Z1" s="69" t="s">
        <v>62</v>
      </c>
      <c r="AA1" s="69" t="s">
        <v>63</v>
      </c>
      <c r="AB1" s="69" t="s">
        <v>64</v>
      </c>
    </row>
    <row r="2" spans="1:28" x14ac:dyDescent="0.3">
      <c r="A2" s="54">
        <v>1</v>
      </c>
      <c r="B2" s="54" t="s">
        <v>485</v>
      </c>
      <c r="C2" s="54" t="s">
        <v>65</v>
      </c>
      <c r="D2" s="54" t="s">
        <v>66</v>
      </c>
      <c r="E2" s="54" t="s">
        <v>67</v>
      </c>
      <c r="F2" s="54" t="s">
        <v>68</v>
      </c>
      <c r="G2" s="54" t="s">
        <v>39</v>
      </c>
      <c r="H2" s="54">
        <v>10</v>
      </c>
      <c r="I2" s="54">
        <v>1</v>
      </c>
      <c r="J2" s="54">
        <v>4</v>
      </c>
      <c r="K2" s="54">
        <v>0.32</v>
      </c>
      <c r="L2" s="54">
        <v>4</v>
      </c>
      <c r="M2" s="54">
        <v>0.32</v>
      </c>
      <c r="N2" s="54" t="s">
        <v>69</v>
      </c>
      <c r="O2" s="54" t="s">
        <v>70</v>
      </c>
      <c r="P2" s="54">
        <v>8</v>
      </c>
      <c r="Q2" s="54">
        <v>8</v>
      </c>
      <c r="R2" s="70">
        <v>46233</v>
      </c>
      <c r="S2" s="70">
        <v>46241</v>
      </c>
      <c r="T2" s="54" t="s">
        <v>69</v>
      </c>
      <c r="U2" s="54"/>
      <c r="V2" s="54"/>
      <c r="W2" s="54"/>
      <c r="X2" s="54" t="s">
        <v>71</v>
      </c>
      <c r="Y2" s="54"/>
      <c r="Z2" s="54"/>
      <c r="AA2" s="54" t="s">
        <v>72</v>
      </c>
      <c r="AB2" s="54"/>
    </row>
    <row r="3" spans="1:28" x14ac:dyDescent="0.3">
      <c r="A3" s="54">
        <v>2</v>
      </c>
      <c r="B3" s="54" t="s">
        <v>485</v>
      </c>
      <c r="C3" s="54" t="s">
        <v>73</v>
      </c>
      <c r="D3" s="54" t="s">
        <v>79</v>
      </c>
      <c r="E3" s="54" t="s">
        <v>80</v>
      </c>
      <c r="F3" s="54" t="s">
        <v>81</v>
      </c>
      <c r="G3" s="54" t="s">
        <v>39</v>
      </c>
      <c r="H3" s="54">
        <v>12</v>
      </c>
      <c r="I3" s="54">
        <v>1</v>
      </c>
      <c r="J3" s="54">
        <v>1</v>
      </c>
      <c r="K3" s="54">
        <v>9.6999999999999993</v>
      </c>
      <c r="L3" s="54">
        <v>1</v>
      </c>
      <c r="M3" s="54">
        <v>9.49</v>
      </c>
      <c r="N3" s="54" t="s">
        <v>69</v>
      </c>
      <c r="O3" s="54" t="s">
        <v>82</v>
      </c>
      <c r="P3" s="54">
        <v>970</v>
      </c>
      <c r="Q3" s="54">
        <v>949</v>
      </c>
      <c r="R3" s="70">
        <v>46231</v>
      </c>
      <c r="S3" s="70">
        <v>46239</v>
      </c>
      <c r="T3" s="54" t="s">
        <v>83</v>
      </c>
      <c r="U3" s="54"/>
      <c r="V3" s="54"/>
      <c r="W3" s="54"/>
      <c r="X3" s="54" t="s">
        <v>71</v>
      </c>
      <c r="Y3" s="54"/>
      <c r="Z3" s="54" t="s">
        <v>84</v>
      </c>
      <c r="AA3" s="54" t="s">
        <v>85</v>
      </c>
      <c r="AB3" s="54" t="s">
        <v>86</v>
      </c>
    </row>
    <row r="4" spans="1:28" x14ac:dyDescent="0.3">
      <c r="A4" s="54">
        <v>3</v>
      </c>
      <c r="B4" s="54" t="s">
        <v>485</v>
      </c>
      <c r="C4" s="54" t="s">
        <v>73</v>
      </c>
      <c r="D4" s="54" t="s">
        <v>87</v>
      </c>
      <c r="E4" s="54" t="s">
        <v>67</v>
      </c>
      <c r="F4" s="54" t="s">
        <v>88</v>
      </c>
      <c r="G4" s="54" t="s">
        <v>39</v>
      </c>
      <c r="H4" s="54">
        <v>12</v>
      </c>
      <c r="I4" s="54">
        <v>1</v>
      </c>
      <c r="J4" s="54">
        <v>0.5</v>
      </c>
      <c r="K4" s="54"/>
      <c r="L4" s="54">
        <v>0.5</v>
      </c>
      <c r="M4" s="54"/>
      <c r="N4" s="54" t="s">
        <v>69</v>
      </c>
      <c r="O4" s="54" t="s">
        <v>77</v>
      </c>
      <c r="P4" s="54"/>
      <c r="Q4" s="54"/>
      <c r="R4" s="70">
        <v>46231</v>
      </c>
      <c r="S4" s="70">
        <v>46234</v>
      </c>
      <c r="T4" s="54" t="s">
        <v>83</v>
      </c>
      <c r="U4" s="54"/>
      <c r="V4" s="54"/>
      <c r="W4" s="54"/>
      <c r="X4" s="54" t="s">
        <v>71</v>
      </c>
      <c r="Y4" s="54"/>
      <c r="Z4" s="54"/>
      <c r="AA4" s="54" t="s">
        <v>85</v>
      </c>
      <c r="AB4" s="54" t="s">
        <v>89</v>
      </c>
    </row>
    <row r="5" spans="1:28" x14ac:dyDescent="0.3">
      <c r="A5" s="54">
        <v>4</v>
      </c>
      <c r="B5" s="54" t="s">
        <v>485</v>
      </c>
      <c r="C5" s="54" t="s">
        <v>90</v>
      </c>
      <c r="D5" s="54" t="s">
        <v>91</v>
      </c>
      <c r="E5" s="54" t="s">
        <v>67</v>
      </c>
      <c r="F5" s="54" t="s">
        <v>92</v>
      </c>
      <c r="G5" s="54" t="s">
        <v>39</v>
      </c>
      <c r="H5" s="54">
        <v>24</v>
      </c>
      <c r="I5" s="54">
        <v>1</v>
      </c>
      <c r="J5" s="54">
        <v>4</v>
      </c>
      <c r="K5" s="54">
        <v>8.2100000000000009</v>
      </c>
      <c r="L5" s="54"/>
      <c r="M5" s="54">
        <v>3.78</v>
      </c>
      <c r="N5" s="54" t="s">
        <v>69</v>
      </c>
      <c r="O5" s="54" t="s">
        <v>77</v>
      </c>
      <c r="P5" s="54">
        <v>205.25</v>
      </c>
      <c r="Q5" s="54"/>
      <c r="R5" s="70">
        <v>46219</v>
      </c>
      <c r="S5" s="70">
        <v>46238</v>
      </c>
      <c r="T5" s="54" t="s">
        <v>83</v>
      </c>
      <c r="U5" s="54"/>
      <c r="V5" s="54"/>
      <c r="W5" s="54"/>
      <c r="X5" s="54" t="s">
        <v>71</v>
      </c>
      <c r="Y5" s="54"/>
      <c r="Z5" s="54" t="s">
        <v>93</v>
      </c>
      <c r="AA5" s="54"/>
      <c r="AB5" s="54" t="s">
        <v>94</v>
      </c>
    </row>
    <row r="6" spans="1:28" x14ac:dyDescent="0.3">
      <c r="A6" s="54">
        <v>5</v>
      </c>
      <c r="B6" s="54" t="s">
        <v>485</v>
      </c>
      <c r="C6" s="54" t="s">
        <v>65</v>
      </c>
      <c r="D6" s="54" t="s">
        <v>100</v>
      </c>
      <c r="E6" s="54" t="s">
        <v>101</v>
      </c>
      <c r="F6" s="54" t="s">
        <v>102</v>
      </c>
      <c r="G6" s="54" t="s">
        <v>39</v>
      </c>
      <c r="H6" s="54">
        <v>26</v>
      </c>
      <c r="I6" s="54">
        <v>1</v>
      </c>
      <c r="J6" s="54">
        <v>8</v>
      </c>
      <c r="K6" s="54"/>
      <c r="L6" s="54">
        <v>8</v>
      </c>
      <c r="M6" s="54"/>
      <c r="N6" s="54" t="s">
        <v>69</v>
      </c>
      <c r="O6" s="54" t="s">
        <v>77</v>
      </c>
      <c r="P6" s="54"/>
      <c r="Q6" s="54"/>
      <c r="R6" s="70">
        <v>46217</v>
      </c>
      <c r="S6" s="54"/>
      <c r="T6" s="54" t="s">
        <v>69</v>
      </c>
      <c r="U6" s="54"/>
      <c r="V6" s="54"/>
      <c r="W6" s="54"/>
      <c r="X6" s="54" t="s">
        <v>71</v>
      </c>
      <c r="Y6" s="54"/>
      <c r="Z6" s="54"/>
      <c r="AA6" s="54" t="s">
        <v>103</v>
      </c>
      <c r="AB6" s="54"/>
    </row>
    <row r="7" spans="1:28" x14ac:dyDescent="0.3">
      <c r="A7" s="54">
        <v>6</v>
      </c>
      <c r="B7" s="54" t="s">
        <v>485</v>
      </c>
      <c r="C7" s="54" t="s">
        <v>104</v>
      </c>
      <c r="D7" s="54" t="s">
        <v>105</v>
      </c>
      <c r="E7" s="54" t="s">
        <v>101</v>
      </c>
      <c r="F7" s="54" t="s">
        <v>106</v>
      </c>
      <c r="G7" s="54" t="s">
        <v>39</v>
      </c>
      <c r="H7" s="54">
        <v>34</v>
      </c>
      <c r="I7" s="54">
        <v>1</v>
      </c>
      <c r="J7" s="54">
        <v>2</v>
      </c>
      <c r="K7" s="54">
        <v>4.5199999999999996</v>
      </c>
      <c r="L7" s="54">
        <v>2</v>
      </c>
      <c r="M7" s="54">
        <v>3.07</v>
      </c>
      <c r="N7" s="54" t="s">
        <v>69</v>
      </c>
      <c r="O7" s="54" t="s">
        <v>82</v>
      </c>
      <c r="P7" s="54">
        <v>226</v>
      </c>
      <c r="Q7" s="54">
        <v>153.5</v>
      </c>
      <c r="R7" s="70">
        <v>46209</v>
      </c>
      <c r="S7" s="70">
        <v>46241</v>
      </c>
      <c r="T7" s="54" t="s">
        <v>107</v>
      </c>
      <c r="U7" s="54"/>
      <c r="V7" s="54"/>
      <c r="W7" s="54"/>
      <c r="X7" s="54" t="s">
        <v>71</v>
      </c>
      <c r="Y7" s="54"/>
      <c r="Z7" s="54" t="s">
        <v>108</v>
      </c>
      <c r="AA7" s="54" t="s">
        <v>72</v>
      </c>
      <c r="AB7" s="54" t="s">
        <v>109</v>
      </c>
    </row>
    <row r="8" spans="1:28" x14ac:dyDescent="0.3">
      <c r="A8" s="54">
        <v>7</v>
      </c>
      <c r="B8" s="54" t="s">
        <v>485</v>
      </c>
      <c r="C8" s="54" t="s">
        <v>110</v>
      </c>
      <c r="D8" s="54" t="s">
        <v>111</v>
      </c>
      <c r="E8" s="54" t="s">
        <v>112</v>
      </c>
      <c r="F8" s="54" t="s">
        <v>113</v>
      </c>
      <c r="G8" s="54" t="s">
        <v>40</v>
      </c>
      <c r="H8" s="54">
        <v>11</v>
      </c>
      <c r="I8" s="54">
        <v>1</v>
      </c>
      <c r="J8" s="54">
        <v>3</v>
      </c>
      <c r="K8" s="54">
        <v>6.41</v>
      </c>
      <c r="L8" s="54"/>
      <c r="M8" s="54">
        <v>1.46</v>
      </c>
      <c r="N8" s="54" t="s">
        <v>69</v>
      </c>
      <c r="O8" s="54" t="s">
        <v>82</v>
      </c>
      <c r="P8" s="54">
        <v>213.67</v>
      </c>
      <c r="Q8" s="54"/>
      <c r="R8" s="70">
        <v>46232</v>
      </c>
      <c r="S8" s="70">
        <v>46235</v>
      </c>
      <c r="T8" s="54" t="s">
        <v>107</v>
      </c>
      <c r="U8" s="54"/>
      <c r="V8" s="54"/>
      <c r="W8" s="54"/>
      <c r="X8" s="54" t="s">
        <v>114</v>
      </c>
      <c r="Y8" s="54">
        <v>1</v>
      </c>
      <c r="Z8" s="54" t="s">
        <v>115</v>
      </c>
      <c r="AA8" s="54" t="s">
        <v>116</v>
      </c>
      <c r="AB8" s="54" t="s">
        <v>117</v>
      </c>
    </row>
    <row r="9" spans="1:28" x14ac:dyDescent="0.3">
      <c r="A9" s="54">
        <v>8</v>
      </c>
      <c r="B9" s="54" t="s">
        <v>485</v>
      </c>
      <c r="C9" s="54" t="s">
        <v>118</v>
      </c>
      <c r="D9" s="54" t="s">
        <v>119</v>
      </c>
      <c r="E9" s="54" t="s">
        <v>80</v>
      </c>
      <c r="F9" s="54" t="s">
        <v>120</v>
      </c>
      <c r="G9" s="54" t="s">
        <v>37</v>
      </c>
      <c r="H9" s="54">
        <v>4</v>
      </c>
      <c r="I9" s="54">
        <v>1</v>
      </c>
      <c r="J9" s="54">
        <v>1</v>
      </c>
      <c r="K9" s="54">
        <v>1.3</v>
      </c>
      <c r="L9" s="54">
        <v>1</v>
      </c>
      <c r="M9" s="54">
        <v>1.3</v>
      </c>
      <c r="N9" s="54" t="s">
        <v>69</v>
      </c>
      <c r="O9" s="54" t="s">
        <v>77</v>
      </c>
      <c r="P9" s="54">
        <v>130</v>
      </c>
      <c r="Q9" s="54">
        <v>130</v>
      </c>
      <c r="R9" s="70">
        <v>46234</v>
      </c>
      <c r="S9" s="70">
        <v>46238</v>
      </c>
      <c r="T9" s="54" t="s">
        <v>97</v>
      </c>
      <c r="U9" s="54"/>
      <c r="V9" s="54"/>
      <c r="W9" s="54"/>
      <c r="X9" s="54" t="s">
        <v>121</v>
      </c>
      <c r="Y9" s="54"/>
      <c r="Z9" s="54" t="s">
        <v>122</v>
      </c>
      <c r="AA9" s="54"/>
      <c r="AB9" s="54" t="s">
        <v>123</v>
      </c>
    </row>
    <row r="10" spans="1:28" x14ac:dyDescent="0.3">
      <c r="A10" s="54">
        <v>9</v>
      </c>
      <c r="B10" s="54" t="s">
        <v>485</v>
      </c>
      <c r="C10" s="54" t="s">
        <v>90</v>
      </c>
      <c r="D10" s="54" t="s">
        <v>124</v>
      </c>
      <c r="E10" s="54" t="s">
        <v>125</v>
      </c>
      <c r="F10" s="54" t="s">
        <v>126</v>
      </c>
      <c r="G10" s="54" t="s">
        <v>37</v>
      </c>
      <c r="H10" s="54">
        <v>5</v>
      </c>
      <c r="I10" s="54">
        <v>1</v>
      </c>
      <c r="J10" s="54">
        <v>0.5</v>
      </c>
      <c r="K10" s="54">
        <v>1.07</v>
      </c>
      <c r="L10" s="54">
        <v>0.34</v>
      </c>
      <c r="M10" s="54">
        <v>0.9</v>
      </c>
      <c r="N10" s="54" t="s">
        <v>69</v>
      </c>
      <c r="O10" s="54" t="s">
        <v>77</v>
      </c>
      <c r="P10" s="54">
        <v>214</v>
      </c>
      <c r="Q10" s="54">
        <v>264.70999999999998</v>
      </c>
      <c r="R10" s="70">
        <v>46233</v>
      </c>
      <c r="S10" s="70">
        <v>46237</v>
      </c>
      <c r="T10" s="54" t="s">
        <v>97</v>
      </c>
      <c r="U10" s="54"/>
      <c r="V10" s="54"/>
      <c r="W10" s="54"/>
      <c r="X10" s="54" t="s">
        <v>121</v>
      </c>
      <c r="Y10" s="54"/>
      <c r="Z10" s="54" t="s">
        <v>127</v>
      </c>
      <c r="AA10" s="54"/>
      <c r="AB10" s="54" t="s">
        <v>128</v>
      </c>
    </row>
    <row r="11" spans="1:28" x14ac:dyDescent="0.3">
      <c r="A11" s="54">
        <v>10</v>
      </c>
      <c r="B11" s="54" t="s">
        <v>485</v>
      </c>
      <c r="C11" s="54" t="s">
        <v>73</v>
      </c>
      <c r="D11" s="54" t="s">
        <v>74</v>
      </c>
      <c r="E11" s="54" t="s">
        <v>75</v>
      </c>
      <c r="F11" s="54" t="s">
        <v>76</v>
      </c>
      <c r="G11" s="54" t="s">
        <v>39</v>
      </c>
      <c r="H11" s="54">
        <v>12</v>
      </c>
      <c r="I11" s="54">
        <v>1</v>
      </c>
      <c r="J11" s="54">
        <v>1</v>
      </c>
      <c r="K11" s="54">
        <v>1.26</v>
      </c>
      <c r="L11" s="54">
        <v>0.09</v>
      </c>
      <c r="M11" s="54"/>
      <c r="N11" s="54" t="s">
        <v>69</v>
      </c>
      <c r="O11" s="54" t="s">
        <v>77</v>
      </c>
      <c r="P11" s="54">
        <v>126</v>
      </c>
      <c r="Q11" s="54"/>
      <c r="R11" s="70">
        <v>46231</v>
      </c>
      <c r="S11" s="70">
        <v>46238</v>
      </c>
      <c r="T11" s="54" t="s">
        <v>69</v>
      </c>
      <c r="U11" s="54"/>
      <c r="V11" s="54"/>
      <c r="W11" s="54"/>
      <c r="X11" s="54" t="s">
        <v>71</v>
      </c>
      <c r="Y11" s="54"/>
      <c r="Z11" s="54"/>
      <c r="AA11" s="54" t="s">
        <v>78</v>
      </c>
      <c r="AB11" s="54"/>
    </row>
    <row r="12" spans="1:28" x14ac:dyDescent="0.3">
      <c r="A12" s="54">
        <v>11</v>
      </c>
      <c r="B12" s="54" t="s">
        <v>485</v>
      </c>
      <c r="C12" s="54" t="s">
        <v>90</v>
      </c>
      <c r="D12" s="54" t="s">
        <v>133</v>
      </c>
      <c r="E12" s="54" t="s">
        <v>80</v>
      </c>
      <c r="F12" s="54" t="s">
        <v>134</v>
      </c>
      <c r="G12" s="54" t="s">
        <v>37</v>
      </c>
      <c r="H12" s="54">
        <v>22</v>
      </c>
      <c r="I12" s="54">
        <v>1</v>
      </c>
      <c r="J12" s="54">
        <v>7</v>
      </c>
      <c r="K12" s="54">
        <v>12.21</v>
      </c>
      <c r="L12" s="54"/>
      <c r="M12" s="54"/>
      <c r="N12" s="54" t="s">
        <v>69</v>
      </c>
      <c r="O12" s="54" t="s">
        <v>77</v>
      </c>
      <c r="P12" s="54">
        <v>174.43</v>
      </c>
      <c r="Q12" s="54"/>
      <c r="R12" s="70">
        <v>46217</v>
      </c>
      <c r="S12" s="70">
        <v>46232</v>
      </c>
      <c r="T12" s="54" t="s">
        <v>97</v>
      </c>
      <c r="U12" s="54"/>
      <c r="V12" s="54"/>
      <c r="W12" s="54"/>
      <c r="X12" s="54" t="s">
        <v>121</v>
      </c>
      <c r="Y12" s="54"/>
      <c r="Z12" s="54" t="s">
        <v>135</v>
      </c>
      <c r="AA12" s="54"/>
      <c r="AB12" s="54" t="s">
        <v>136</v>
      </c>
    </row>
    <row r="13" spans="1:28" x14ac:dyDescent="0.3">
      <c r="A13" s="54">
        <v>12</v>
      </c>
      <c r="B13" s="54" t="s">
        <v>485</v>
      </c>
      <c r="C13" s="54" t="s">
        <v>90</v>
      </c>
      <c r="D13" s="54" t="s">
        <v>137</v>
      </c>
      <c r="E13" s="54" t="s">
        <v>101</v>
      </c>
      <c r="F13" s="54" t="s">
        <v>138</v>
      </c>
      <c r="G13" s="54" t="s">
        <v>37</v>
      </c>
      <c r="H13" s="54">
        <v>27</v>
      </c>
      <c r="I13" s="54">
        <v>1</v>
      </c>
      <c r="J13" s="54">
        <v>1</v>
      </c>
      <c r="K13" s="54"/>
      <c r="L13" s="54">
        <v>1</v>
      </c>
      <c r="M13" s="54"/>
      <c r="N13" s="54" t="s">
        <v>69</v>
      </c>
      <c r="O13" s="54" t="s">
        <v>82</v>
      </c>
      <c r="P13" s="54"/>
      <c r="Q13" s="54"/>
      <c r="R13" s="70">
        <v>46216</v>
      </c>
      <c r="S13" s="54"/>
      <c r="T13" s="54" t="s">
        <v>69</v>
      </c>
      <c r="U13" s="54"/>
      <c r="V13" s="54"/>
      <c r="W13" s="54"/>
      <c r="X13" s="54" t="s">
        <v>121</v>
      </c>
      <c r="Y13" s="54"/>
      <c r="Z13" s="54"/>
      <c r="AA13" s="54" t="s">
        <v>132</v>
      </c>
      <c r="AB13" s="54"/>
    </row>
    <row r="14" spans="1:28" x14ac:dyDescent="0.3">
      <c r="A14" s="54">
        <v>13</v>
      </c>
      <c r="B14" s="54" t="s">
        <v>485</v>
      </c>
      <c r="C14" s="54" t="s">
        <v>90</v>
      </c>
      <c r="D14" s="54" t="s">
        <v>139</v>
      </c>
      <c r="E14" s="54" t="s">
        <v>101</v>
      </c>
      <c r="F14" s="54" t="s">
        <v>140</v>
      </c>
      <c r="G14" s="54" t="s">
        <v>37</v>
      </c>
      <c r="H14" s="54">
        <v>23</v>
      </c>
      <c r="I14" s="54">
        <v>1</v>
      </c>
      <c r="J14" s="54">
        <v>1</v>
      </c>
      <c r="K14" s="54"/>
      <c r="L14" s="54">
        <v>1</v>
      </c>
      <c r="M14" s="54"/>
      <c r="N14" s="54" t="s">
        <v>69</v>
      </c>
      <c r="O14" s="54" t="s">
        <v>82</v>
      </c>
      <c r="P14" s="54"/>
      <c r="Q14" s="54"/>
      <c r="R14" s="70">
        <v>46216</v>
      </c>
      <c r="S14" s="54"/>
      <c r="T14" s="54" t="s">
        <v>97</v>
      </c>
      <c r="U14" s="54"/>
      <c r="V14" s="54"/>
      <c r="W14" s="54"/>
      <c r="X14" s="54" t="s">
        <v>121</v>
      </c>
      <c r="Y14" s="54"/>
      <c r="Z14" s="54"/>
      <c r="AA14" s="54"/>
      <c r="AB14" s="54" t="s">
        <v>141</v>
      </c>
    </row>
    <row r="15" spans="1:28" x14ac:dyDescent="0.3">
      <c r="A15" s="54">
        <v>14</v>
      </c>
      <c r="B15" s="54" t="s">
        <v>485</v>
      </c>
      <c r="C15" s="54" t="s">
        <v>90</v>
      </c>
      <c r="D15" s="54" t="s">
        <v>142</v>
      </c>
      <c r="E15" s="54" t="s">
        <v>143</v>
      </c>
      <c r="F15" s="54" t="s">
        <v>144</v>
      </c>
      <c r="G15" s="54" t="s">
        <v>37</v>
      </c>
      <c r="H15" s="54">
        <v>27</v>
      </c>
      <c r="I15" s="54">
        <v>1</v>
      </c>
      <c r="J15" s="54">
        <v>0.5</v>
      </c>
      <c r="K15" s="54"/>
      <c r="L15" s="54">
        <v>0.5</v>
      </c>
      <c r="M15" s="54"/>
      <c r="N15" s="54" t="s">
        <v>69</v>
      </c>
      <c r="O15" s="54" t="s">
        <v>82</v>
      </c>
      <c r="P15" s="54"/>
      <c r="Q15" s="54"/>
      <c r="R15" s="70">
        <v>46216</v>
      </c>
      <c r="S15" s="54"/>
      <c r="T15" s="54" t="s">
        <v>69</v>
      </c>
      <c r="U15" s="54"/>
      <c r="V15" s="54"/>
      <c r="W15" s="54"/>
      <c r="X15" s="54" t="s">
        <v>121</v>
      </c>
      <c r="Y15" s="54"/>
      <c r="Z15" s="54"/>
      <c r="AA15" s="54" t="s">
        <v>132</v>
      </c>
      <c r="AB15" s="54"/>
    </row>
    <row r="16" spans="1:28" x14ac:dyDescent="0.3">
      <c r="A16" s="54">
        <v>15</v>
      </c>
      <c r="B16" s="54" t="s">
        <v>485</v>
      </c>
      <c r="C16" s="54" t="s">
        <v>90</v>
      </c>
      <c r="D16" s="54" t="s">
        <v>145</v>
      </c>
      <c r="E16" s="54" t="s">
        <v>143</v>
      </c>
      <c r="F16" s="54" t="s">
        <v>146</v>
      </c>
      <c r="G16" s="54" t="s">
        <v>37</v>
      </c>
      <c r="H16" s="54">
        <v>27</v>
      </c>
      <c r="I16" s="54">
        <v>1</v>
      </c>
      <c r="J16" s="54">
        <v>2</v>
      </c>
      <c r="K16" s="54"/>
      <c r="L16" s="54">
        <v>2</v>
      </c>
      <c r="M16" s="54"/>
      <c r="N16" s="54" t="s">
        <v>69</v>
      </c>
      <c r="O16" s="54" t="s">
        <v>82</v>
      </c>
      <c r="P16" s="54"/>
      <c r="Q16" s="54"/>
      <c r="R16" s="70">
        <v>46216</v>
      </c>
      <c r="S16" s="54"/>
      <c r="T16" s="54" t="s">
        <v>69</v>
      </c>
      <c r="U16" s="54"/>
      <c r="V16" s="54"/>
      <c r="W16" s="54"/>
      <c r="X16" s="54" t="s">
        <v>121</v>
      </c>
      <c r="Y16" s="54"/>
      <c r="Z16" s="54"/>
      <c r="AA16" s="54" t="s">
        <v>132</v>
      </c>
      <c r="AB16" s="54"/>
    </row>
    <row r="17" spans="1:28" x14ac:dyDescent="0.3">
      <c r="A17" s="54">
        <v>16</v>
      </c>
      <c r="B17" s="54" t="s">
        <v>485</v>
      </c>
      <c r="C17" s="54" t="s">
        <v>90</v>
      </c>
      <c r="D17" s="54" t="s">
        <v>147</v>
      </c>
      <c r="E17" s="54" t="s">
        <v>143</v>
      </c>
      <c r="F17" s="54" t="s">
        <v>148</v>
      </c>
      <c r="G17" s="54" t="s">
        <v>37</v>
      </c>
      <c r="H17" s="54">
        <v>24</v>
      </c>
      <c r="I17" s="54">
        <v>1</v>
      </c>
      <c r="J17" s="54">
        <v>1</v>
      </c>
      <c r="K17" s="54">
        <v>1.76</v>
      </c>
      <c r="L17" s="54">
        <v>1</v>
      </c>
      <c r="M17" s="54">
        <v>1.76</v>
      </c>
      <c r="N17" s="54" t="s">
        <v>69</v>
      </c>
      <c r="O17" s="54" t="s">
        <v>82</v>
      </c>
      <c r="P17" s="54">
        <v>176</v>
      </c>
      <c r="Q17" s="54">
        <v>176</v>
      </c>
      <c r="R17" s="70">
        <v>46216</v>
      </c>
      <c r="S17" s="70">
        <v>46240</v>
      </c>
      <c r="T17" s="54" t="s">
        <v>97</v>
      </c>
      <c r="U17" s="54"/>
      <c r="V17" s="54"/>
      <c r="W17" s="54"/>
      <c r="X17" s="54" t="s">
        <v>121</v>
      </c>
      <c r="Y17" s="54"/>
      <c r="Z17" s="54" t="s">
        <v>149</v>
      </c>
      <c r="AA17" s="54"/>
      <c r="AB17" s="54" t="s">
        <v>150</v>
      </c>
    </row>
    <row r="18" spans="1:28" x14ac:dyDescent="0.3">
      <c r="A18" s="54">
        <v>17</v>
      </c>
      <c r="B18" s="54" t="s">
        <v>485</v>
      </c>
      <c r="C18" s="54" t="s">
        <v>90</v>
      </c>
      <c r="D18" s="54" t="s">
        <v>151</v>
      </c>
      <c r="E18" s="54" t="s">
        <v>125</v>
      </c>
      <c r="F18" s="54" t="s">
        <v>152</v>
      </c>
      <c r="G18" s="54" t="s">
        <v>37</v>
      </c>
      <c r="H18" s="54">
        <v>27</v>
      </c>
      <c r="I18" s="54">
        <v>1</v>
      </c>
      <c r="J18" s="54">
        <v>4</v>
      </c>
      <c r="K18" s="54"/>
      <c r="L18" s="54">
        <v>4</v>
      </c>
      <c r="M18" s="54"/>
      <c r="N18" s="54" t="s">
        <v>69</v>
      </c>
      <c r="O18" s="54" t="s">
        <v>82</v>
      </c>
      <c r="P18" s="54"/>
      <c r="Q18" s="54"/>
      <c r="R18" s="70">
        <v>46216</v>
      </c>
      <c r="S18" s="54"/>
      <c r="T18" s="54" t="s">
        <v>69</v>
      </c>
      <c r="U18" s="54"/>
      <c r="V18" s="54"/>
      <c r="W18" s="54"/>
      <c r="X18" s="54" t="s">
        <v>121</v>
      </c>
      <c r="Y18" s="54"/>
      <c r="Z18" s="54"/>
      <c r="AA18" s="54" t="s">
        <v>132</v>
      </c>
      <c r="AB18" s="54"/>
    </row>
    <row r="19" spans="1:28" x14ac:dyDescent="0.3">
      <c r="A19" s="54">
        <v>18</v>
      </c>
      <c r="B19" s="54" t="s">
        <v>485</v>
      </c>
      <c r="C19" s="54" t="s">
        <v>90</v>
      </c>
      <c r="D19" s="54" t="s">
        <v>153</v>
      </c>
      <c r="E19" s="54" t="s">
        <v>143</v>
      </c>
      <c r="F19" s="54" t="s">
        <v>154</v>
      </c>
      <c r="G19" s="54" t="s">
        <v>37</v>
      </c>
      <c r="H19" s="54">
        <v>23</v>
      </c>
      <c r="I19" s="54">
        <v>1</v>
      </c>
      <c r="J19" s="54">
        <v>2</v>
      </c>
      <c r="K19" s="54"/>
      <c r="L19" s="54">
        <v>2</v>
      </c>
      <c r="M19" s="54"/>
      <c r="N19" s="54" t="s">
        <v>69</v>
      </c>
      <c r="O19" s="54" t="s">
        <v>82</v>
      </c>
      <c r="P19" s="54"/>
      <c r="Q19" s="54"/>
      <c r="R19" s="70">
        <v>46216</v>
      </c>
      <c r="S19" s="54"/>
      <c r="T19" s="54" t="s">
        <v>97</v>
      </c>
      <c r="U19" s="54"/>
      <c r="V19" s="54"/>
      <c r="W19" s="54"/>
      <c r="X19" s="54" t="s">
        <v>121</v>
      </c>
      <c r="Y19" s="54"/>
      <c r="Z19" s="54"/>
      <c r="AA19" s="54"/>
      <c r="AB19" s="54" t="s">
        <v>155</v>
      </c>
    </row>
    <row r="20" spans="1:28" x14ac:dyDescent="0.3">
      <c r="A20" s="54">
        <v>19</v>
      </c>
      <c r="B20" s="54" t="s">
        <v>485</v>
      </c>
      <c r="C20" s="54" t="s">
        <v>90</v>
      </c>
      <c r="D20" s="54" t="s">
        <v>156</v>
      </c>
      <c r="E20" s="54" t="s">
        <v>67</v>
      </c>
      <c r="F20" s="54" t="s">
        <v>157</v>
      </c>
      <c r="G20" s="54" t="s">
        <v>37</v>
      </c>
      <c r="H20" s="54">
        <v>23</v>
      </c>
      <c r="I20" s="54">
        <v>1</v>
      </c>
      <c r="J20" s="54">
        <v>2</v>
      </c>
      <c r="K20" s="54"/>
      <c r="L20" s="54">
        <v>2</v>
      </c>
      <c r="M20" s="54"/>
      <c r="N20" s="54" t="s">
        <v>69</v>
      </c>
      <c r="O20" s="54" t="s">
        <v>82</v>
      </c>
      <c r="P20" s="54"/>
      <c r="Q20" s="54"/>
      <c r="R20" s="70">
        <v>46216</v>
      </c>
      <c r="S20" s="54"/>
      <c r="T20" s="54" t="s">
        <v>97</v>
      </c>
      <c r="U20" s="54"/>
      <c r="V20" s="54"/>
      <c r="W20" s="54"/>
      <c r="X20" s="54" t="s">
        <v>121</v>
      </c>
      <c r="Y20" s="54"/>
      <c r="Z20" s="54"/>
      <c r="AA20" s="54"/>
      <c r="AB20" s="54" t="s">
        <v>158</v>
      </c>
    </row>
    <row r="21" spans="1:28" x14ac:dyDescent="0.3">
      <c r="A21" s="54">
        <v>20</v>
      </c>
      <c r="B21" s="54" t="s">
        <v>485</v>
      </c>
      <c r="C21" s="54" t="s">
        <v>90</v>
      </c>
      <c r="D21" s="54" t="s">
        <v>159</v>
      </c>
      <c r="E21" s="54" t="s">
        <v>143</v>
      </c>
      <c r="F21" s="54" t="s">
        <v>160</v>
      </c>
      <c r="G21" s="54" t="s">
        <v>37</v>
      </c>
      <c r="H21" s="54">
        <v>27</v>
      </c>
      <c r="I21" s="54">
        <v>1</v>
      </c>
      <c r="J21" s="54">
        <v>1</v>
      </c>
      <c r="K21" s="54"/>
      <c r="L21" s="54">
        <v>1</v>
      </c>
      <c r="M21" s="54"/>
      <c r="N21" s="54" t="s">
        <v>161</v>
      </c>
      <c r="O21" s="54" t="s">
        <v>82</v>
      </c>
      <c r="P21" s="54"/>
      <c r="Q21" s="54"/>
      <c r="R21" s="70">
        <v>46216</v>
      </c>
      <c r="S21" s="54"/>
      <c r="T21" s="54" t="s">
        <v>69</v>
      </c>
      <c r="U21" s="54"/>
      <c r="V21" s="54"/>
      <c r="W21" s="54"/>
      <c r="X21" s="54" t="s">
        <v>121</v>
      </c>
      <c r="Y21" s="54"/>
      <c r="Z21" s="54"/>
      <c r="AA21" s="54" t="s">
        <v>132</v>
      </c>
      <c r="AB21" s="54"/>
    </row>
    <row r="22" spans="1:28" x14ac:dyDescent="0.3">
      <c r="A22" s="54">
        <v>21</v>
      </c>
      <c r="B22" s="54" t="s">
        <v>485</v>
      </c>
      <c r="C22" s="54" t="s">
        <v>90</v>
      </c>
      <c r="D22" s="54" t="s">
        <v>162</v>
      </c>
      <c r="E22" s="54" t="s">
        <v>143</v>
      </c>
      <c r="F22" s="54" t="s">
        <v>163</v>
      </c>
      <c r="G22" s="54" t="s">
        <v>37</v>
      </c>
      <c r="H22" s="54">
        <v>27</v>
      </c>
      <c r="I22" s="54">
        <v>1</v>
      </c>
      <c r="J22" s="54">
        <v>1</v>
      </c>
      <c r="K22" s="54"/>
      <c r="L22" s="54">
        <v>1</v>
      </c>
      <c r="M22" s="54"/>
      <c r="N22" s="54" t="s">
        <v>69</v>
      </c>
      <c r="O22" s="54" t="s">
        <v>82</v>
      </c>
      <c r="P22" s="54"/>
      <c r="Q22" s="54"/>
      <c r="R22" s="70">
        <v>46216</v>
      </c>
      <c r="S22" s="54"/>
      <c r="T22" s="54" t="s">
        <v>69</v>
      </c>
      <c r="U22" s="54"/>
      <c r="V22" s="54"/>
      <c r="W22" s="54"/>
      <c r="X22" s="54" t="s">
        <v>121</v>
      </c>
      <c r="Y22" s="54"/>
      <c r="Z22" s="54"/>
      <c r="AA22" s="54" t="s">
        <v>132</v>
      </c>
      <c r="AB22" s="54"/>
    </row>
    <row r="23" spans="1:28" x14ac:dyDescent="0.3">
      <c r="A23" s="54">
        <v>22</v>
      </c>
      <c r="B23" s="54" t="s">
        <v>485</v>
      </c>
      <c r="C23" s="54" t="s">
        <v>90</v>
      </c>
      <c r="D23" s="54" t="s">
        <v>95</v>
      </c>
      <c r="E23" s="54" t="s">
        <v>75</v>
      </c>
      <c r="F23" s="54" t="s">
        <v>96</v>
      </c>
      <c r="G23" s="54" t="s">
        <v>39</v>
      </c>
      <c r="H23" s="54">
        <v>24</v>
      </c>
      <c r="I23" s="54">
        <v>1</v>
      </c>
      <c r="J23" s="54">
        <v>0.5</v>
      </c>
      <c r="K23" s="54">
        <v>1.48</v>
      </c>
      <c r="L23" s="54"/>
      <c r="M23" s="54">
        <v>0.41</v>
      </c>
      <c r="N23" s="54" t="s">
        <v>69</v>
      </c>
      <c r="O23" s="54" t="s">
        <v>77</v>
      </c>
      <c r="P23" s="54">
        <v>296</v>
      </c>
      <c r="Q23" s="54"/>
      <c r="R23" s="70">
        <v>46217</v>
      </c>
      <c r="S23" s="70">
        <v>46237</v>
      </c>
      <c r="T23" s="54" t="s">
        <v>97</v>
      </c>
      <c r="U23" s="54"/>
      <c r="V23" s="54"/>
      <c r="W23" s="54"/>
      <c r="X23" s="54" t="s">
        <v>71</v>
      </c>
      <c r="Y23" s="54"/>
      <c r="Z23" s="54" t="s">
        <v>98</v>
      </c>
      <c r="AA23" s="54"/>
      <c r="AB23" s="54" t="s">
        <v>99</v>
      </c>
    </row>
    <row r="24" spans="1:28" x14ac:dyDescent="0.3">
      <c r="A24" s="54">
        <v>23</v>
      </c>
      <c r="B24" s="54" t="s">
        <v>485</v>
      </c>
      <c r="C24" s="54" t="s">
        <v>73</v>
      </c>
      <c r="D24" s="54" t="s">
        <v>382</v>
      </c>
      <c r="E24" s="54" t="s">
        <v>75</v>
      </c>
      <c r="F24" s="54" t="s">
        <v>383</v>
      </c>
      <c r="G24" s="54" t="s">
        <v>39</v>
      </c>
      <c r="H24" s="54">
        <v>4</v>
      </c>
      <c r="I24" s="54">
        <v>1</v>
      </c>
      <c r="J24" s="54">
        <v>0.5</v>
      </c>
      <c r="K24" s="54">
        <v>0.65</v>
      </c>
      <c r="L24" s="54">
        <v>0.5</v>
      </c>
      <c r="M24" s="54">
        <v>0.65</v>
      </c>
      <c r="N24" s="54" t="s">
        <v>69</v>
      </c>
      <c r="O24" s="54" t="s">
        <v>77</v>
      </c>
      <c r="P24" s="54">
        <v>130</v>
      </c>
      <c r="Q24" s="54">
        <v>130</v>
      </c>
      <c r="R24" s="54"/>
      <c r="S24" s="70">
        <v>46239</v>
      </c>
      <c r="T24" s="54" t="s">
        <v>69</v>
      </c>
      <c r="U24" s="54"/>
      <c r="V24" s="54">
        <v>1</v>
      </c>
      <c r="W24" s="54"/>
      <c r="X24" s="54" t="s">
        <v>71</v>
      </c>
      <c r="Y24" s="54"/>
      <c r="Z24" s="54"/>
      <c r="AA24" s="54" t="s">
        <v>384</v>
      </c>
      <c r="AB24" s="54"/>
    </row>
    <row r="25" spans="1:28" x14ac:dyDescent="0.3">
      <c r="A25" s="54">
        <v>24</v>
      </c>
      <c r="B25" s="54" t="s">
        <v>485</v>
      </c>
      <c r="C25" s="54" t="s">
        <v>173</v>
      </c>
      <c r="D25" s="54" t="s">
        <v>174</v>
      </c>
      <c r="E25" s="54" t="s">
        <v>101</v>
      </c>
      <c r="F25" s="54" t="s">
        <v>175</v>
      </c>
      <c r="G25" s="54" t="s">
        <v>37</v>
      </c>
      <c r="H25" s="54">
        <v>123</v>
      </c>
      <c r="I25" s="54">
        <v>1</v>
      </c>
      <c r="J25" s="54">
        <v>10</v>
      </c>
      <c r="K25" s="54">
        <v>8.84</v>
      </c>
      <c r="L25" s="54">
        <v>10</v>
      </c>
      <c r="M25" s="54"/>
      <c r="N25" s="54" t="s">
        <v>69</v>
      </c>
      <c r="O25" s="54" t="s">
        <v>82</v>
      </c>
      <c r="P25" s="54">
        <v>88.4</v>
      </c>
      <c r="Q25" s="54"/>
      <c r="R25" s="70">
        <v>46120</v>
      </c>
      <c r="S25" s="70">
        <v>46209</v>
      </c>
      <c r="T25" s="54" t="s">
        <v>69</v>
      </c>
      <c r="U25" s="54"/>
      <c r="V25" s="54"/>
      <c r="W25" s="54"/>
      <c r="X25" s="54" t="s">
        <v>121</v>
      </c>
      <c r="Y25" s="54"/>
      <c r="Z25" s="54"/>
      <c r="AA25" s="54" t="s">
        <v>132</v>
      </c>
      <c r="AB25" s="54"/>
    </row>
    <row r="26" spans="1:28" x14ac:dyDescent="0.3">
      <c r="A26" s="54">
        <v>25</v>
      </c>
      <c r="B26" s="54" t="s">
        <v>485</v>
      </c>
      <c r="C26" s="54" t="s">
        <v>90</v>
      </c>
      <c r="D26" s="54" t="s">
        <v>176</v>
      </c>
      <c r="E26" s="54" t="s">
        <v>143</v>
      </c>
      <c r="F26" s="54" t="s">
        <v>177</v>
      </c>
      <c r="G26" s="54" t="s">
        <v>37</v>
      </c>
      <c r="H26" s="54">
        <v>156</v>
      </c>
      <c r="I26" s="54">
        <v>1</v>
      </c>
      <c r="J26" s="54">
        <v>3</v>
      </c>
      <c r="K26" s="54"/>
      <c r="L26" s="54">
        <v>3</v>
      </c>
      <c r="M26" s="54"/>
      <c r="N26" s="54" t="s">
        <v>69</v>
      </c>
      <c r="O26" s="54" t="s">
        <v>77</v>
      </c>
      <c r="P26" s="54"/>
      <c r="Q26" s="54"/>
      <c r="R26" s="70">
        <v>46087</v>
      </c>
      <c r="S26" s="54"/>
      <c r="T26" s="54" t="s">
        <v>69</v>
      </c>
      <c r="U26" s="54"/>
      <c r="V26" s="54"/>
      <c r="W26" s="54"/>
      <c r="X26" s="54" t="s">
        <v>121</v>
      </c>
      <c r="Y26" s="54"/>
      <c r="Z26" s="54"/>
      <c r="AA26" s="54" t="s">
        <v>132</v>
      </c>
      <c r="AB26" s="54"/>
    </row>
    <row r="27" spans="1:28" x14ac:dyDescent="0.3">
      <c r="A27" s="54">
        <v>26</v>
      </c>
      <c r="B27" s="54" t="s">
        <v>485</v>
      </c>
      <c r="C27" s="54" t="s">
        <v>178</v>
      </c>
      <c r="D27" s="54" t="s">
        <v>179</v>
      </c>
      <c r="E27" s="54" t="s">
        <v>101</v>
      </c>
      <c r="F27" s="54" t="s">
        <v>180</v>
      </c>
      <c r="G27" s="54" t="s">
        <v>38</v>
      </c>
      <c r="H27" s="54">
        <v>6</v>
      </c>
      <c r="I27" s="54">
        <v>1</v>
      </c>
      <c r="J27" s="54">
        <v>1</v>
      </c>
      <c r="K27" s="54">
        <v>1.52</v>
      </c>
      <c r="L27" s="54">
        <v>1</v>
      </c>
      <c r="M27" s="54">
        <v>1.52</v>
      </c>
      <c r="N27" s="54" t="s">
        <v>69</v>
      </c>
      <c r="O27" s="54" t="s">
        <v>77</v>
      </c>
      <c r="P27" s="54">
        <v>152</v>
      </c>
      <c r="Q27" s="54">
        <v>152</v>
      </c>
      <c r="R27" s="70">
        <v>46233</v>
      </c>
      <c r="S27" s="70">
        <v>46235</v>
      </c>
      <c r="T27" s="54" t="s">
        <v>97</v>
      </c>
      <c r="U27" s="54"/>
      <c r="V27" s="54"/>
      <c r="W27" s="54"/>
      <c r="X27" s="54" t="s">
        <v>181</v>
      </c>
      <c r="Y27" s="54"/>
      <c r="Z27" s="54" t="s">
        <v>182</v>
      </c>
      <c r="AA27" s="54"/>
      <c r="AB27" s="54" t="s">
        <v>183</v>
      </c>
    </row>
    <row r="28" spans="1:28" x14ac:dyDescent="0.3">
      <c r="A28" s="54">
        <v>27</v>
      </c>
      <c r="B28" s="54" t="s">
        <v>485</v>
      </c>
      <c r="C28" s="54" t="s">
        <v>65</v>
      </c>
      <c r="D28" s="54" t="s">
        <v>184</v>
      </c>
      <c r="E28" s="54" t="s">
        <v>112</v>
      </c>
      <c r="F28" s="54" t="s">
        <v>185</v>
      </c>
      <c r="G28" s="54" t="s">
        <v>38</v>
      </c>
      <c r="H28" s="54">
        <v>11</v>
      </c>
      <c r="I28" s="54">
        <v>1</v>
      </c>
      <c r="J28" s="54">
        <v>3</v>
      </c>
      <c r="K28" s="54"/>
      <c r="L28" s="54">
        <v>3</v>
      </c>
      <c r="M28" s="54"/>
      <c r="N28" s="54" t="s">
        <v>69</v>
      </c>
      <c r="O28" s="54" t="s">
        <v>82</v>
      </c>
      <c r="P28" s="54"/>
      <c r="Q28" s="54"/>
      <c r="R28" s="70">
        <v>46232</v>
      </c>
      <c r="S28" s="70">
        <v>46241</v>
      </c>
      <c r="T28" s="54" t="s">
        <v>69</v>
      </c>
      <c r="U28" s="54"/>
      <c r="V28" s="54"/>
      <c r="W28" s="54"/>
      <c r="X28" s="54" t="s">
        <v>181</v>
      </c>
      <c r="Y28" s="54"/>
      <c r="Z28" s="54"/>
      <c r="AA28" s="54" t="s">
        <v>186</v>
      </c>
      <c r="AB28" s="54"/>
    </row>
    <row r="29" spans="1:28" x14ac:dyDescent="0.3">
      <c r="A29" s="54">
        <v>28</v>
      </c>
      <c r="B29" s="54" t="s">
        <v>485</v>
      </c>
      <c r="C29" s="54" t="s">
        <v>104</v>
      </c>
      <c r="D29" s="54" t="s">
        <v>187</v>
      </c>
      <c r="E29" s="54" t="s">
        <v>112</v>
      </c>
      <c r="F29" s="54" t="s">
        <v>113</v>
      </c>
      <c r="G29" s="54" t="s">
        <v>38</v>
      </c>
      <c r="H29" s="54">
        <v>9</v>
      </c>
      <c r="I29" s="54">
        <v>1</v>
      </c>
      <c r="J29" s="54">
        <v>3</v>
      </c>
      <c r="K29" s="54">
        <v>2.39</v>
      </c>
      <c r="L29" s="54">
        <v>3</v>
      </c>
      <c r="M29" s="54">
        <v>2.39</v>
      </c>
      <c r="N29" s="54" t="s">
        <v>69</v>
      </c>
      <c r="O29" s="54" t="s">
        <v>82</v>
      </c>
      <c r="P29" s="54">
        <v>79.67</v>
      </c>
      <c r="Q29" s="54">
        <v>79.67</v>
      </c>
      <c r="R29" s="70">
        <v>46232</v>
      </c>
      <c r="S29" s="70">
        <v>46241</v>
      </c>
      <c r="T29" s="54" t="s">
        <v>97</v>
      </c>
      <c r="U29" s="54"/>
      <c r="V29" s="54"/>
      <c r="W29" s="54"/>
      <c r="X29" s="54" t="s">
        <v>181</v>
      </c>
      <c r="Y29" s="54"/>
      <c r="Z29" s="54"/>
      <c r="AA29" s="54" t="s">
        <v>186</v>
      </c>
      <c r="AB29" s="54" t="s">
        <v>188</v>
      </c>
    </row>
    <row r="30" spans="1:28" x14ac:dyDescent="0.3">
      <c r="A30" s="54">
        <v>29</v>
      </c>
      <c r="B30" s="54" t="s">
        <v>485</v>
      </c>
      <c r="C30" s="54" t="s">
        <v>164</v>
      </c>
      <c r="D30" s="54" t="s">
        <v>189</v>
      </c>
      <c r="E30" s="54" t="s">
        <v>125</v>
      </c>
      <c r="F30" s="54" t="s">
        <v>190</v>
      </c>
      <c r="G30" s="54" t="s">
        <v>38</v>
      </c>
      <c r="H30" s="54">
        <v>48</v>
      </c>
      <c r="I30" s="54">
        <v>1</v>
      </c>
      <c r="J30" s="54">
        <v>4</v>
      </c>
      <c r="K30" s="54">
        <v>4.42</v>
      </c>
      <c r="L30" s="54">
        <v>0.67</v>
      </c>
      <c r="M30" s="54">
        <v>1.0900000000000001</v>
      </c>
      <c r="N30" s="54" t="s">
        <v>69</v>
      </c>
      <c r="O30" s="54" t="s">
        <v>82</v>
      </c>
      <c r="P30" s="54">
        <v>110.5</v>
      </c>
      <c r="Q30" s="54">
        <v>162.69</v>
      </c>
      <c r="R30" s="70">
        <v>46195</v>
      </c>
      <c r="S30" s="70">
        <v>46238</v>
      </c>
      <c r="T30" s="54" t="s">
        <v>83</v>
      </c>
      <c r="U30" s="54"/>
      <c r="V30" s="54"/>
      <c r="W30" s="54"/>
      <c r="X30" s="54" t="s">
        <v>181</v>
      </c>
      <c r="Y30" s="54"/>
      <c r="Z30" s="54" t="s">
        <v>191</v>
      </c>
      <c r="AA30" s="54" t="s">
        <v>192</v>
      </c>
      <c r="AB30" s="54" t="s">
        <v>193</v>
      </c>
    </row>
    <row r="31" spans="1:28" x14ac:dyDescent="0.3">
      <c r="A31" s="54">
        <v>30</v>
      </c>
      <c r="B31" s="54" t="s">
        <v>485</v>
      </c>
      <c r="C31" s="54" t="s">
        <v>164</v>
      </c>
      <c r="D31" s="54" t="s">
        <v>194</v>
      </c>
      <c r="E31" s="54" t="s">
        <v>125</v>
      </c>
      <c r="F31" s="54" t="s">
        <v>195</v>
      </c>
      <c r="G31" s="54" t="s">
        <v>38</v>
      </c>
      <c r="H31" s="54">
        <v>48</v>
      </c>
      <c r="I31" s="54">
        <v>1</v>
      </c>
      <c r="J31" s="54">
        <v>1.75</v>
      </c>
      <c r="K31" s="54">
        <v>1.25</v>
      </c>
      <c r="L31" s="54">
        <v>0.5</v>
      </c>
      <c r="M31" s="54"/>
      <c r="N31" s="54" t="s">
        <v>69</v>
      </c>
      <c r="O31" s="54" t="s">
        <v>82</v>
      </c>
      <c r="P31" s="54">
        <v>71.430000000000007</v>
      </c>
      <c r="Q31" s="54"/>
      <c r="R31" s="70">
        <v>46195</v>
      </c>
      <c r="S31" s="70">
        <v>46234</v>
      </c>
      <c r="T31" s="54" t="s">
        <v>69</v>
      </c>
      <c r="U31" s="54"/>
      <c r="V31" s="54"/>
      <c r="W31" s="54"/>
      <c r="X31" s="54" t="s">
        <v>181</v>
      </c>
      <c r="Y31" s="54"/>
      <c r="Z31" s="54"/>
      <c r="AA31" s="54" t="s">
        <v>196</v>
      </c>
      <c r="AB31" s="54"/>
    </row>
    <row r="32" spans="1:28" x14ac:dyDescent="0.3">
      <c r="A32" s="54">
        <v>31</v>
      </c>
      <c r="B32" s="54" t="s">
        <v>485</v>
      </c>
      <c r="C32" s="54" t="s">
        <v>164</v>
      </c>
      <c r="D32" s="54" t="s">
        <v>197</v>
      </c>
      <c r="E32" s="54" t="s">
        <v>67</v>
      </c>
      <c r="F32" s="54" t="s">
        <v>198</v>
      </c>
      <c r="G32" s="54" t="s">
        <v>38</v>
      </c>
      <c r="H32" s="54">
        <v>88</v>
      </c>
      <c r="I32" s="54">
        <v>1</v>
      </c>
      <c r="J32" s="54">
        <v>38</v>
      </c>
      <c r="K32" s="54">
        <v>37.950000000000003</v>
      </c>
      <c r="L32" s="54">
        <v>2.95</v>
      </c>
      <c r="M32" s="54"/>
      <c r="N32" s="54" t="s">
        <v>69</v>
      </c>
      <c r="O32" s="54" t="s">
        <v>77</v>
      </c>
      <c r="P32" s="54">
        <v>99.87</v>
      </c>
      <c r="Q32" s="54"/>
      <c r="R32" s="70">
        <v>46155</v>
      </c>
      <c r="S32" s="70">
        <v>46233</v>
      </c>
      <c r="T32" s="54" t="s">
        <v>69</v>
      </c>
      <c r="U32" s="54"/>
      <c r="V32" s="54"/>
      <c r="W32" s="54"/>
      <c r="X32" s="54" t="s">
        <v>181</v>
      </c>
      <c r="Y32" s="54"/>
      <c r="Z32" s="54"/>
      <c r="AA32" s="54" t="s">
        <v>199</v>
      </c>
      <c r="AB32" s="54"/>
    </row>
    <row r="33" spans="1:28" x14ac:dyDescent="0.3">
      <c r="A33" s="54">
        <v>32</v>
      </c>
      <c r="B33" s="54" t="s">
        <v>485</v>
      </c>
      <c r="C33" s="54" t="s">
        <v>178</v>
      </c>
      <c r="D33" s="54" t="s">
        <v>200</v>
      </c>
      <c r="E33" s="54" t="s">
        <v>101</v>
      </c>
      <c r="F33" s="54" t="s">
        <v>201</v>
      </c>
      <c r="G33" s="54" t="s">
        <v>38</v>
      </c>
      <c r="H33" s="54">
        <v>6</v>
      </c>
      <c r="I33" s="54">
        <v>1</v>
      </c>
      <c r="J33" s="54">
        <v>1.5</v>
      </c>
      <c r="K33" s="54">
        <v>1.41</v>
      </c>
      <c r="L33" s="54">
        <v>1</v>
      </c>
      <c r="M33" s="54">
        <v>0.73</v>
      </c>
      <c r="N33" s="54" t="s">
        <v>69</v>
      </c>
      <c r="O33" s="54" t="s">
        <v>77</v>
      </c>
      <c r="P33" s="54">
        <v>94</v>
      </c>
      <c r="Q33" s="54">
        <v>73</v>
      </c>
      <c r="R33" s="54"/>
      <c r="S33" s="70">
        <v>46235</v>
      </c>
      <c r="T33" s="54" t="s">
        <v>97</v>
      </c>
      <c r="U33" s="54"/>
      <c r="V33" s="54"/>
      <c r="W33" s="54"/>
      <c r="X33" s="54" t="s">
        <v>181</v>
      </c>
      <c r="Y33" s="54"/>
      <c r="Z33" s="54"/>
      <c r="AA33" s="54"/>
      <c r="AB33" s="54" t="s">
        <v>202</v>
      </c>
    </row>
    <row r="34" spans="1:28" x14ac:dyDescent="0.3">
      <c r="A34" s="54">
        <v>33</v>
      </c>
      <c r="B34" s="54" t="s">
        <v>485</v>
      </c>
      <c r="C34" s="54" t="s">
        <v>129</v>
      </c>
      <c r="D34" s="54" t="s">
        <v>203</v>
      </c>
      <c r="E34" s="54" t="s">
        <v>101</v>
      </c>
      <c r="F34" s="54" t="s">
        <v>204</v>
      </c>
      <c r="G34" s="54" t="s">
        <v>37</v>
      </c>
      <c r="H34" s="54">
        <v>5</v>
      </c>
      <c r="I34" s="54">
        <v>1</v>
      </c>
      <c r="J34" s="54">
        <v>3</v>
      </c>
      <c r="K34" s="54">
        <v>2.97</v>
      </c>
      <c r="L34" s="54">
        <v>2</v>
      </c>
      <c r="M34" s="54">
        <v>0.5</v>
      </c>
      <c r="N34" s="54" t="s">
        <v>69</v>
      </c>
      <c r="O34" s="54" t="s">
        <v>77</v>
      </c>
      <c r="P34" s="54">
        <v>99</v>
      </c>
      <c r="Q34" s="54">
        <v>25</v>
      </c>
      <c r="R34" s="54"/>
      <c r="S34" s="70">
        <v>46235</v>
      </c>
      <c r="T34" s="54" t="s">
        <v>97</v>
      </c>
      <c r="U34" s="54"/>
      <c r="V34" s="54"/>
      <c r="W34" s="54"/>
      <c r="X34" s="54" t="s">
        <v>121</v>
      </c>
      <c r="Y34" s="54"/>
      <c r="Z34" s="54" t="s">
        <v>205</v>
      </c>
      <c r="AA34" s="54"/>
      <c r="AB34" s="54" t="s">
        <v>206</v>
      </c>
    </row>
    <row r="35" spans="1:28" x14ac:dyDescent="0.3">
      <c r="A35" s="54">
        <v>34</v>
      </c>
      <c r="B35" s="54" t="s">
        <v>485</v>
      </c>
      <c r="C35" s="54" t="s">
        <v>73</v>
      </c>
      <c r="D35" s="54" t="s">
        <v>207</v>
      </c>
      <c r="E35" s="54" t="s">
        <v>67</v>
      </c>
      <c r="F35" s="54" t="s">
        <v>208</v>
      </c>
      <c r="G35" s="54" t="s">
        <v>39</v>
      </c>
      <c r="H35" s="54">
        <v>8</v>
      </c>
      <c r="I35" s="54">
        <v>1</v>
      </c>
      <c r="J35" s="54">
        <v>1</v>
      </c>
      <c r="K35" s="54">
        <v>0.82</v>
      </c>
      <c r="L35" s="54">
        <v>1</v>
      </c>
      <c r="M35" s="54">
        <v>0.27</v>
      </c>
      <c r="N35" s="54" t="s">
        <v>69</v>
      </c>
      <c r="O35" s="54" t="s">
        <v>77</v>
      </c>
      <c r="P35" s="54">
        <v>82</v>
      </c>
      <c r="Q35" s="54">
        <v>27</v>
      </c>
      <c r="R35" s="54"/>
      <c r="S35" s="70">
        <v>46235</v>
      </c>
      <c r="T35" s="54" t="s">
        <v>83</v>
      </c>
      <c r="U35" s="54"/>
      <c r="V35" s="54"/>
      <c r="W35" s="54"/>
      <c r="X35" s="54" t="s">
        <v>71</v>
      </c>
      <c r="Y35" s="54"/>
      <c r="Z35" s="54"/>
      <c r="AA35" s="54" t="s">
        <v>85</v>
      </c>
      <c r="AB35" s="54" t="s">
        <v>209</v>
      </c>
    </row>
    <row r="36" spans="1:28" x14ac:dyDescent="0.3">
      <c r="A36" s="54">
        <v>35</v>
      </c>
      <c r="B36" s="54" t="s">
        <v>485</v>
      </c>
      <c r="C36" s="54" t="s">
        <v>73</v>
      </c>
      <c r="D36" s="54" t="s">
        <v>210</v>
      </c>
      <c r="E36" s="54" t="s">
        <v>101</v>
      </c>
      <c r="F36" s="54" t="s">
        <v>211</v>
      </c>
      <c r="G36" s="54" t="s">
        <v>39</v>
      </c>
      <c r="H36" s="54">
        <v>12</v>
      </c>
      <c r="I36" s="54">
        <v>1</v>
      </c>
      <c r="J36" s="54">
        <v>1</v>
      </c>
      <c r="K36" s="54">
        <v>5.22</v>
      </c>
      <c r="L36" s="54"/>
      <c r="M36" s="54"/>
      <c r="N36" s="54" t="s">
        <v>69</v>
      </c>
      <c r="O36" s="54" t="s">
        <v>77</v>
      </c>
      <c r="P36" s="54">
        <v>522</v>
      </c>
      <c r="Q36" s="54"/>
      <c r="R36" s="54"/>
      <c r="S36" s="70">
        <v>46238</v>
      </c>
      <c r="T36" s="54" t="s">
        <v>83</v>
      </c>
      <c r="U36" s="54"/>
      <c r="V36" s="54"/>
      <c r="W36" s="54"/>
      <c r="X36" s="54" t="s">
        <v>71</v>
      </c>
      <c r="Y36" s="54"/>
      <c r="Z36" s="54" t="s">
        <v>212</v>
      </c>
      <c r="AA36" s="54" t="s">
        <v>85</v>
      </c>
      <c r="AB36" s="54" t="s">
        <v>213</v>
      </c>
    </row>
    <row r="37" spans="1:28" x14ac:dyDescent="0.3">
      <c r="A37" s="54">
        <v>36</v>
      </c>
      <c r="B37" s="54" t="s">
        <v>485</v>
      </c>
      <c r="C37" s="54" t="s">
        <v>73</v>
      </c>
      <c r="D37" s="54" t="s">
        <v>214</v>
      </c>
      <c r="E37" s="54" t="s">
        <v>143</v>
      </c>
      <c r="F37" s="54" t="s">
        <v>215</v>
      </c>
      <c r="G37" s="54" t="s">
        <v>39</v>
      </c>
      <c r="H37" s="54">
        <v>8</v>
      </c>
      <c r="I37" s="54">
        <v>1</v>
      </c>
      <c r="J37" s="54">
        <v>1</v>
      </c>
      <c r="K37" s="54">
        <v>0.31</v>
      </c>
      <c r="L37" s="54">
        <v>1</v>
      </c>
      <c r="M37" s="54">
        <v>0.31</v>
      </c>
      <c r="N37" s="54" t="s">
        <v>69</v>
      </c>
      <c r="O37" s="54" t="s">
        <v>77</v>
      </c>
      <c r="P37" s="54">
        <v>31</v>
      </c>
      <c r="Q37" s="54">
        <v>31</v>
      </c>
      <c r="R37" s="54"/>
      <c r="S37" s="70">
        <v>46238</v>
      </c>
      <c r="T37" s="54" t="s">
        <v>83</v>
      </c>
      <c r="U37" s="54"/>
      <c r="V37" s="54">
        <v>1</v>
      </c>
      <c r="W37" s="54"/>
      <c r="X37" s="54" t="s">
        <v>71</v>
      </c>
      <c r="Y37" s="54"/>
      <c r="Z37" s="54"/>
      <c r="AA37" s="54" t="s">
        <v>85</v>
      </c>
      <c r="AB37" s="54" t="s">
        <v>216</v>
      </c>
    </row>
    <row r="38" spans="1:28" x14ac:dyDescent="0.3">
      <c r="A38" s="54">
        <v>37</v>
      </c>
      <c r="B38" s="54" t="s">
        <v>485</v>
      </c>
      <c r="C38" s="54" t="s">
        <v>73</v>
      </c>
      <c r="D38" s="54" t="s">
        <v>217</v>
      </c>
      <c r="E38" s="54" t="s">
        <v>143</v>
      </c>
      <c r="F38" s="54" t="s">
        <v>218</v>
      </c>
      <c r="G38" s="54" t="s">
        <v>39</v>
      </c>
      <c r="H38" s="54">
        <v>8</v>
      </c>
      <c r="I38" s="54">
        <v>1</v>
      </c>
      <c r="J38" s="54">
        <v>0.5</v>
      </c>
      <c r="K38" s="54">
        <v>0.8</v>
      </c>
      <c r="L38" s="54">
        <v>0.5</v>
      </c>
      <c r="M38" s="54">
        <v>0.8</v>
      </c>
      <c r="N38" s="54" t="s">
        <v>107</v>
      </c>
      <c r="O38" s="54" t="s">
        <v>77</v>
      </c>
      <c r="P38" s="54">
        <v>160</v>
      </c>
      <c r="Q38" s="54">
        <v>160</v>
      </c>
      <c r="R38" s="54"/>
      <c r="S38" s="70">
        <v>46235</v>
      </c>
      <c r="T38" s="54" t="s">
        <v>83</v>
      </c>
      <c r="U38" s="54"/>
      <c r="V38" s="54">
        <v>1</v>
      </c>
      <c r="W38" s="54"/>
      <c r="X38" s="54" t="s">
        <v>71</v>
      </c>
      <c r="Y38" s="54"/>
      <c r="Z38" s="54" t="s">
        <v>219</v>
      </c>
      <c r="AA38" s="54" t="s">
        <v>85</v>
      </c>
      <c r="AB38" s="54" t="s">
        <v>220</v>
      </c>
    </row>
    <row r="39" spans="1:28" x14ac:dyDescent="0.3">
      <c r="A39" s="54">
        <v>38</v>
      </c>
      <c r="B39" s="54" t="s">
        <v>485</v>
      </c>
      <c r="C39" s="54" t="s">
        <v>221</v>
      </c>
      <c r="D39" s="54" t="s">
        <v>222</v>
      </c>
      <c r="E39" s="54" t="s">
        <v>80</v>
      </c>
      <c r="F39" s="54" t="s">
        <v>223</v>
      </c>
      <c r="G39" s="54" t="s">
        <v>37</v>
      </c>
      <c r="H39" s="54">
        <v>0</v>
      </c>
      <c r="I39" s="54">
        <v>1</v>
      </c>
      <c r="J39" s="54">
        <v>1</v>
      </c>
      <c r="K39" s="54">
        <v>0.76</v>
      </c>
      <c r="L39" s="54">
        <v>1</v>
      </c>
      <c r="M39" s="54">
        <v>0.76</v>
      </c>
      <c r="N39" s="54" t="s">
        <v>69</v>
      </c>
      <c r="O39" s="54" t="s">
        <v>77</v>
      </c>
      <c r="P39" s="54">
        <v>76</v>
      </c>
      <c r="Q39" s="54">
        <v>76</v>
      </c>
      <c r="R39" s="54"/>
      <c r="S39" s="70">
        <v>46235</v>
      </c>
      <c r="T39" s="54" t="s">
        <v>97</v>
      </c>
      <c r="U39" s="54"/>
      <c r="V39" s="54">
        <v>1</v>
      </c>
      <c r="W39" s="54"/>
      <c r="X39" s="54" t="s">
        <v>121</v>
      </c>
      <c r="Y39" s="54"/>
      <c r="Z39" s="54"/>
      <c r="AA39" s="54"/>
      <c r="AB39" s="54" t="s">
        <v>224</v>
      </c>
    </row>
    <row r="40" spans="1:28" x14ac:dyDescent="0.3">
      <c r="A40" s="54">
        <v>39</v>
      </c>
      <c r="B40" s="54" t="s">
        <v>485</v>
      </c>
      <c r="C40" s="54" t="s">
        <v>90</v>
      </c>
      <c r="D40" s="54" t="s">
        <v>225</v>
      </c>
      <c r="E40" s="54" t="s">
        <v>101</v>
      </c>
      <c r="F40" s="54" t="s">
        <v>226</v>
      </c>
      <c r="G40" s="54" t="s">
        <v>37</v>
      </c>
      <c r="H40" s="54">
        <v>0</v>
      </c>
      <c r="I40" s="54">
        <v>1</v>
      </c>
      <c r="J40" s="54">
        <v>0.25</v>
      </c>
      <c r="K40" s="54">
        <v>0.48</v>
      </c>
      <c r="L40" s="54">
        <v>0.25</v>
      </c>
      <c r="M40" s="54">
        <v>0.48</v>
      </c>
      <c r="N40" s="54" t="s">
        <v>69</v>
      </c>
      <c r="O40" s="54" t="s">
        <v>77</v>
      </c>
      <c r="P40" s="54">
        <v>192</v>
      </c>
      <c r="Q40" s="54">
        <v>192</v>
      </c>
      <c r="R40" s="54"/>
      <c r="S40" s="70">
        <v>46235</v>
      </c>
      <c r="T40" s="54" t="s">
        <v>97</v>
      </c>
      <c r="U40" s="54"/>
      <c r="V40" s="54">
        <v>1</v>
      </c>
      <c r="W40" s="54"/>
      <c r="X40" s="54" t="s">
        <v>121</v>
      </c>
      <c r="Y40" s="54"/>
      <c r="Z40" s="54"/>
      <c r="AA40" s="54"/>
      <c r="AB40" s="54" t="s">
        <v>227</v>
      </c>
    </row>
    <row r="41" spans="1:28" x14ac:dyDescent="0.3">
      <c r="A41" s="54">
        <v>40</v>
      </c>
      <c r="B41" s="54" t="s">
        <v>485</v>
      </c>
      <c r="C41" s="54" t="s">
        <v>90</v>
      </c>
      <c r="D41" s="54" t="s">
        <v>228</v>
      </c>
      <c r="E41" s="54" t="s">
        <v>125</v>
      </c>
      <c r="F41" s="54" t="s">
        <v>229</v>
      </c>
      <c r="G41" s="54" t="s">
        <v>37</v>
      </c>
      <c r="H41" s="54">
        <v>9</v>
      </c>
      <c r="I41" s="54">
        <v>1</v>
      </c>
      <c r="J41" s="54">
        <v>0.5</v>
      </c>
      <c r="K41" s="54">
        <v>0.44</v>
      </c>
      <c r="L41" s="54">
        <v>0.06</v>
      </c>
      <c r="M41" s="54"/>
      <c r="N41" s="54" t="s">
        <v>69</v>
      </c>
      <c r="O41" s="54" t="s">
        <v>82</v>
      </c>
      <c r="P41" s="54">
        <v>88</v>
      </c>
      <c r="Q41" s="54"/>
      <c r="R41" s="54"/>
      <c r="S41" s="70">
        <v>46235</v>
      </c>
      <c r="T41" s="54" t="s">
        <v>97</v>
      </c>
      <c r="U41" s="54"/>
      <c r="V41" s="54">
        <v>1</v>
      </c>
      <c r="W41" s="54"/>
      <c r="X41" s="54" t="s">
        <v>121</v>
      </c>
      <c r="Y41" s="54"/>
      <c r="Z41" s="54"/>
      <c r="AA41" s="54"/>
      <c r="AB41" s="54" t="s">
        <v>230</v>
      </c>
    </row>
    <row r="42" spans="1:28" x14ac:dyDescent="0.3">
      <c r="A42" s="54">
        <v>41</v>
      </c>
      <c r="B42" s="54" t="s">
        <v>485</v>
      </c>
      <c r="C42" s="54" t="s">
        <v>178</v>
      </c>
      <c r="D42" s="54" t="s">
        <v>231</v>
      </c>
      <c r="E42" s="54" t="s">
        <v>125</v>
      </c>
      <c r="F42" s="54" t="s">
        <v>232</v>
      </c>
      <c r="G42" s="54" t="s">
        <v>38</v>
      </c>
      <c r="H42" s="54">
        <v>18</v>
      </c>
      <c r="I42" s="54">
        <v>1</v>
      </c>
      <c r="J42" s="54">
        <v>1.5</v>
      </c>
      <c r="K42" s="54">
        <v>2.81</v>
      </c>
      <c r="L42" s="54"/>
      <c r="M42" s="54">
        <v>0.92</v>
      </c>
      <c r="N42" s="54" t="s">
        <v>69</v>
      </c>
      <c r="O42" s="54" t="s">
        <v>77</v>
      </c>
      <c r="P42" s="54">
        <v>187.33</v>
      </c>
      <c r="Q42" s="54"/>
      <c r="R42" s="54"/>
      <c r="S42" s="70">
        <v>46235</v>
      </c>
      <c r="T42" s="54" t="s">
        <v>83</v>
      </c>
      <c r="U42" s="54"/>
      <c r="V42" s="54">
        <v>1</v>
      </c>
      <c r="W42" s="54"/>
      <c r="X42" s="54" t="s">
        <v>181</v>
      </c>
      <c r="Y42" s="54"/>
      <c r="Z42" s="54" t="s">
        <v>233</v>
      </c>
      <c r="AA42" s="54" t="s">
        <v>234</v>
      </c>
      <c r="AB42" s="54" t="s">
        <v>235</v>
      </c>
    </row>
    <row r="43" spans="1:28" x14ac:dyDescent="0.3">
      <c r="A43" s="54">
        <v>42</v>
      </c>
      <c r="B43" s="54" t="s">
        <v>485</v>
      </c>
      <c r="C43" s="54" t="s">
        <v>164</v>
      </c>
      <c r="D43" s="54" t="s">
        <v>236</v>
      </c>
      <c r="E43" s="54" t="s">
        <v>125</v>
      </c>
      <c r="F43" s="54" t="s">
        <v>237</v>
      </c>
      <c r="G43" s="54" t="s">
        <v>38</v>
      </c>
      <c r="H43" s="54">
        <v>3</v>
      </c>
      <c r="I43" s="54">
        <v>1</v>
      </c>
      <c r="J43" s="54">
        <v>0.75</v>
      </c>
      <c r="K43" s="54">
        <v>0.96</v>
      </c>
      <c r="L43" s="54">
        <v>0.75</v>
      </c>
      <c r="M43" s="54">
        <v>0.96</v>
      </c>
      <c r="N43" s="54" t="s">
        <v>69</v>
      </c>
      <c r="O43" s="54" t="s">
        <v>77</v>
      </c>
      <c r="P43" s="54">
        <v>128</v>
      </c>
      <c r="Q43" s="54">
        <v>128</v>
      </c>
      <c r="R43" s="54"/>
      <c r="S43" s="70">
        <v>46237</v>
      </c>
      <c r="T43" s="54" t="s">
        <v>97</v>
      </c>
      <c r="U43" s="54"/>
      <c r="V43" s="54"/>
      <c r="W43" s="54"/>
      <c r="X43" s="54" t="s">
        <v>181</v>
      </c>
      <c r="Y43" s="54"/>
      <c r="Z43" s="54" t="s">
        <v>238</v>
      </c>
      <c r="AA43" s="54"/>
      <c r="AB43" s="54" t="s">
        <v>239</v>
      </c>
    </row>
    <row r="44" spans="1:28" x14ac:dyDescent="0.3">
      <c r="A44" s="54">
        <v>43</v>
      </c>
      <c r="B44" s="54" t="s">
        <v>485</v>
      </c>
      <c r="C44" s="54" t="s">
        <v>118</v>
      </c>
      <c r="D44" s="54" t="s">
        <v>240</v>
      </c>
      <c r="E44" s="54" t="s">
        <v>101</v>
      </c>
      <c r="F44" s="54" t="s">
        <v>241</v>
      </c>
      <c r="G44" s="54" t="s">
        <v>40</v>
      </c>
      <c r="H44" s="54">
        <v>3</v>
      </c>
      <c r="I44" s="54">
        <v>1</v>
      </c>
      <c r="J44" s="54">
        <v>0.5</v>
      </c>
      <c r="K44" s="54">
        <v>0.44</v>
      </c>
      <c r="L44" s="54">
        <v>0.5</v>
      </c>
      <c r="M44" s="54">
        <v>0.44</v>
      </c>
      <c r="N44" s="54" t="s">
        <v>69</v>
      </c>
      <c r="O44" s="54" t="s">
        <v>82</v>
      </c>
      <c r="P44" s="54">
        <v>88</v>
      </c>
      <c r="Q44" s="54">
        <v>88</v>
      </c>
      <c r="R44" s="54"/>
      <c r="S44" s="70">
        <v>46235</v>
      </c>
      <c r="T44" s="54" t="s">
        <v>97</v>
      </c>
      <c r="U44" s="54"/>
      <c r="V44" s="54"/>
      <c r="W44" s="54"/>
      <c r="X44" s="54" t="s">
        <v>114</v>
      </c>
      <c r="Y44" s="54"/>
      <c r="Z44" s="54"/>
      <c r="AA44" s="54"/>
      <c r="AB44" s="54" t="s">
        <v>242</v>
      </c>
    </row>
    <row r="45" spans="1:28" x14ac:dyDescent="0.3">
      <c r="A45" s="54">
        <v>44</v>
      </c>
      <c r="B45" s="54" t="s">
        <v>485</v>
      </c>
      <c r="C45" s="54" t="s">
        <v>110</v>
      </c>
      <c r="D45" s="54" t="s">
        <v>243</v>
      </c>
      <c r="E45" s="54" t="s">
        <v>244</v>
      </c>
      <c r="F45" s="54" t="s">
        <v>245</v>
      </c>
      <c r="G45" s="54" t="s">
        <v>40</v>
      </c>
      <c r="H45" s="54">
        <v>6</v>
      </c>
      <c r="I45" s="54">
        <v>1</v>
      </c>
      <c r="J45" s="54">
        <v>8</v>
      </c>
      <c r="K45" s="54">
        <v>7.03</v>
      </c>
      <c r="L45" s="54">
        <v>8</v>
      </c>
      <c r="M45" s="54">
        <v>7.03</v>
      </c>
      <c r="N45" s="54" t="s">
        <v>69</v>
      </c>
      <c r="O45" s="54" t="s">
        <v>82</v>
      </c>
      <c r="P45" s="54">
        <v>87.88</v>
      </c>
      <c r="Q45" s="54">
        <v>87.88</v>
      </c>
      <c r="R45" s="54"/>
      <c r="S45" s="70">
        <v>46238</v>
      </c>
      <c r="T45" s="54" t="s">
        <v>107</v>
      </c>
      <c r="U45" s="54"/>
      <c r="V45" s="54"/>
      <c r="W45" s="54"/>
      <c r="X45" s="54" t="s">
        <v>114</v>
      </c>
      <c r="Y45" s="54"/>
      <c r="Z45" s="54"/>
      <c r="AA45" s="54" t="s">
        <v>116</v>
      </c>
      <c r="AB45" s="54" t="s">
        <v>246</v>
      </c>
    </row>
    <row r="46" spans="1:28" x14ac:dyDescent="0.3">
      <c r="A46" s="54">
        <v>45</v>
      </c>
      <c r="B46" s="54" t="s">
        <v>485</v>
      </c>
      <c r="C46" s="54" t="s">
        <v>164</v>
      </c>
      <c r="D46" s="54" t="s">
        <v>247</v>
      </c>
      <c r="E46" s="54" t="s">
        <v>125</v>
      </c>
      <c r="F46" s="54" t="s">
        <v>248</v>
      </c>
      <c r="G46" s="54" t="s">
        <v>38</v>
      </c>
      <c r="H46" s="54">
        <v>6</v>
      </c>
      <c r="I46" s="54">
        <v>1</v>
      </c>
      <c r="J46" s="54">
        <v>0.75</v>
      </c>
      <c r="K46" s="54">
        <v>0.64</v>
      </c>
      <c r="L46" s="54">
        <v>0.75</v>
      </c>
      <c r="M46" s="54">
        <v>0.64</v>
      </c>
      <c r="N46" s="54" t="s">
        <v>69</v>
      </c>
      <c r="O46" s="54" t="s">
        <v>82</v>
      </c>
      <c r="P46" s="54">
        <v>85.33</v>
      </c>
      <c r="Q46" s="54">
        <v>85.33</v>
      </c>
      <c r="R46" s="54"/>
      <c r="S46" s="70">
        <v>46239</v>
      </c>
      <c r="T46" s="54" t="s">
        <v>69</v>
      </c>
      <c r="U46" s="54"/>
      <c r="V46" s="54"/>
      <c r="W46" s="54"/>
      <c r="X46" s="54" t="s">
        <v>181</v>
      </c>
      <c r="Y46" s="54"/>
      <c r="Z46" s="54"/>
      <c r="AA46" s="54" t="s">
        <v>249</v>
      </c>
      <c r="AB46" s="54"/>
    </row>
    <row r="47" spans="1:28" x14ac:dyDescent="0.3">
      <c r="A47" s="54">
        <v>46</v>
      </c>
      <c r="B47" s="54" t="s">
        <v>485</v>
      </c>
      <c r="C47" s="54" t="s">
        <v>164</v>
      </c>
      <c r="D47" s="54" t="s">
        <v>250</v>
      </c>
      <c r="E47" s="54" t="s">
        <v>125</v>
      </c>
      <c r="F47" s="54" t="s">
        <v>251</v>
      </c>
      <c r="G47" s="54" t="s">
        <v>38</v>
      </c>
      <c r="H47" s="54">
        <v>6</v>
      </c>
      <c r="I47" s="54">
        <v>1</v>
      </c>
      <c r="J47" s="54">
        <v>1</v>
      </c>
      <c r="K47" s="54">
        <v>1.73</v>
      </c>
      <c r="L47" s="54">
        <v>1</v>
      </c>
      <c r="M47" s="54">
        <v>1.73</v>
      </c>
      <c r="N47" s="54" t="s">
        <v>69</v>
      </c>
      <c r="O47" s="54" t="s">
        <v>82</v>
      </c>
      <c r="P47" s="54">
        <v>173</v>
      </c>
      <c r="Q47" s="54">
        <v>173</v>
      </c>
      <c r="R47" s="54"/>
      <c r="S47" s="70">
        <v>46237</v>
      </c>
      <c r="T47" s="54" t="s">
        <v>83</v>
      </c>
      <c r="U47" s="54"/>
      <c r="V47" s="54"/>
      <c r="W47" s="54"/>
      <c r="X47" s="54" t="s">
        <v>181</v>
      </c>
      <c r="Y47" s="54"/>
      <c r="Z47" s="54" t="s">
        <v>252</v>
      </c>
      <c r="AA47" s="54" t="s">
        <v>253</v>
      </c>
      <c r="AB47" s="54" t="s">
        <v>254</v>
      </c>
    </row>
    <row r="48" spans="1:28" x14ac:dyDescent="0.3">
      <c r="A48" s="54">
        <v>47</v>
      </c>
      <c r="B48" s="54" t="s">
        <v>485</v>
      </c>
      <c r="C48" s="54" t="s">
        <v>73</v>
      </c>
      <c r="D48" s="54" t="s">
        <v>438</v>
      </c>
      <c r="E48" s="54" t="s">
        <v>75</v>
      </c>
      <c r="F48" s="54" t="s">
        <v>439</v>
      </c>
      <c r="G48" s="54" t="s">
        <v>39</v>
      </c>
      <c r="H48" s="54">
        <v>3</v>
      </c>
      <c r="I48" s="54">
        <v>1</v>
      </c>
      <c r="J48" s="54">
        <v>1</v>
      </c>
      <c r="K48" s="54">
        <v>1.52</v>
      </c>
      <c r="L48" s="54">
        <v>1</v>
      </c>
      <c r="M48" s="54">
        <v>1.52</v>
      </c>
      <c r="N48" s="54" t="s">
        <v>69</v>
      </c>
      <c r="O48" s="54" t="s">
        <v>257</v>
      </c>
      <c r="P48" s="54">
        <v>152</v>
      </c>
      <c r="Q48" s="54">
        <v>152</v>
      </c>
      <c r="R48" s="54"/>
      <c r="S48" s="70">
        <v>46240</v>
      </c>
      <c r="T48" s="54" t="s">
        <v>83</v>
      </c>
      <c r="U48" s="54"/>
      <c r="V48" s="54">
        <v>1</v>
      </c>
      <c r="W48" s="54"/>
      <c r="X48" s="54" t="s">
        <v>71</v>
      </c>
      <c r="Y48" s="54"/>
      <c r="Z48" s="54" t="s">
        <v>440</v>
      </c>
      <c r="AA48" s="54" t="s">
        <v>422</v>
      </c>
      <c r="AB48" s="54" t="s">
        <v>441</v>
      </c>
    </row>
    <row r="49" spans="1:28" x14ac:dyDescent="0.3">
      <c r="A49" s="54">
        <v>48</v>
      </c>
      <c r="B49" s="54" t="s">
        <v>485</v>
      </c>
      <c r="C49" s="54" t="s">
        <v>129</v>
      </c>
      <c r="D49" s="54" t="s">
        <v>260</v>
      </c>
      <c r="E49" s="54" t="s">
        <v>112</v>
      </c>
      <c r="F49" s="54" t="s">
        <v>261</v>
      </c>
      <c r="G49" s="54" t="s">
        <v>37</v>
      </c>
      <c r="H49" s="54">
        <v>0</v>
      </c>
      <c r="I49" s="54">
        <v>1</v>
      </c>
      <c r="J49" s="54">
        <v>1</v>
      </c>
      <c r="K49" s="54">
        <v>0.46</v>
      </c>
      <c r="L49" s="54">
        <v>1</v>
      </c>
      <c r="M49" s="54">
        <v>0.46</v>
      </c>
      <c r="N49" s="54" t="s">
        <v>69</v>
      </c>
      <c r="O49" s="54" t="s">
        <v>77</v>
      </c>
      <c r="P49" s="54">
        <v>46</v>
      </c>
      <c r="Q49" s="54">
        <v>46</v>
      </c>
      <c r="R49" s="54"/>
      <c r="S49" s="70">
        <v>46237</v>
      </c>
      <c r="T49" s="54" t="s">
        <v>97</v>
      </c>
      <c r="U49" s="54"/>
      <c r="V49" s="54"/>
      <c r="W49" s="54"/>
      <c r="X49" s="54" t="s">
        <v>121</v>
      </c>
      <c r="Y49" s="54"/>
      <c r="Z49" s="54"/>
      <c r="AA49" s="54"/>
      <c r="AB49" s="54" t="s">
        <v>262</v>
      </c>
    </row>
    <row r="50" spans="1:28" x14ac:dyDescent="0.3">
      <c r="A50" s="54">
        <v>49</v>
      </c>
      <c r="B50" s="54" t="s">
        <v>485</v>
      </c>
      <c r="C50" s="54" t="s">
        <v>90</v>
      </c>
      <c r="D50" s="54" t="s">
        <v>263</v>
      </c>
      <c r="E50" s="54" t="s">
        <v>125</v>
      </c>
      <c r="F50" s="54" t="s">
        <v>264</v>
      </c>
      <c r="G50" s="54" t="s">
        <v>37</v>
      </c>
      <c r="H50" s="54">
        <v>2</v>
      </c>
      <c r="I50" s="54">
        <v>1</v>
      </c>
      <c r="J50" s="54">
        <v>0.5</v>
      </c>
      <c r="K50" s="54"/>
      <c r="L50" s="54">
        <v>0.5</v>
      </c>
      <c r="M50" s="54"/>
      <c r="N50" s="54" t="s">
        <v>97</v>
      </c>
      <c r="O50" s="54" t="s">
        <v>77</v>
      </c>
      <c r="P50" s="54"/>
      <c r="Q50" s="54"/>
      <c r="R50" s="54"/>
      <c r="S50" s="70">
        <v>46235</v>
      </c>
      <c r="T50" s="54" t="s">
        <v>97</v>
      </c>
      <c r="U50" s="54"/>
      <c r="V50" s="54">
        <v>1</v>
      </c>
      <c r="W50" s="54"/>
      <c r="X50" s="54" t="s">
        <v>121</v>
      </c>
      <c r="Y50" s="54"/>
      <c r="Z50" s="54"/>
      <c r="AA50" s="54"/>
      <c r="AB50" s="54" t="s">
        <v>265</v>
      </c>
    </row>
    <row r="51" spans="1:28" x14ac:dyDescent="0.3">
      <c r="A51" s="54">
        <v>50</v>
      </c>
      <c r="B51" s="54" t="s">
        <v>485</v>
      </c>
      <c r="C51" s="54" t="s">
        <v>90</v>
      </c>
      <c r="D51" s="54" t="s">
        <v>270</v>
      </c>
      <c r="E51" s="54" t="s">
        <v>67</v>
      </c>
      <c r="F51" s="54" t="s">
        <v>271</v>
      </c>
      <c r="G51" s="54" t="s">
        <v>40</v>
      </c>
      <c r="H51" s="54">
        <v>3</v>
      </c>
      <c r="I51" s="54">
        <v>1</v>
      </c>
      <c r="J51" s="54">
        <v>0.5</v>
      </c>
      <c r="K51" s="54">
        <v>0.43</v>
      </c>
      <c r="L51" s="54">
        <v>0.5</v>
      </c>
      <c r="M51" s="54">
        <v>0.43</v>
      </c>
      <c r="N51" s="54" t="s">
        <v>107</v>
      </c>
      <c r="O51" s="54" t="s">
        <v>77</v>
      </c>
      <c r="P51" s="54">
        <v>86</v>
      </c>
      <c r="Q51" s="54">
        <v>86</v>
      </c>
      <c r="R51" s="54"/>
      <c r="S51" s="70">
        <v>46235</v>
      </c>
      <c r="T51" s="54" t="s">
        <v>97</v>
      </c>
      <c r="U51" s="54"/>
      <c r="V51" s="54">
        <v>1</v>
      </c>
      <c r="W51" s="54"/>
      <c r="X51" s="54" t="s">
        <v>114</v>
      </c>
      <c r="Y51" s="54"/>
      <c r="Z51" s="54"/>
      <c r="AA51" s="54"/>
      <c r="AB51" s="54" t="s">
        <v>272</v>
      </c>
    </row>
    <row r="52" spans="1:28" x14ac:dyDescent="0.3">
      <c r="A52" s="54">
        <v>51</v>
      </c>
      <c r="B52" s="54" t="s">
        <v>485</v>
      </c>
      <c r="C52" s="54" t="s">
        <v>90</v>
      </c>
      <c r="D52" s="54" t="s">
        <v>273</v>
      </c>
      <c r="E52" s="54" t="s">
        <v>101</v>
      </c>
      <c r="F52" s="54" t="s">
        <v>274</v>
      </c>
      <c r="G52" s="54" t="s">
        <v>40</v>
      </c>
      <c r="H52" s="54">
        <v>3</v>
      </c>
      <c r="I52" s="54">
        <v>1</v>
      </c>
      <c r="J52" s="54">
        <v>1</v>
      </c>
      <c r="K52" s="54">
        <v>0.97</v>
      </c>
      <c r="L52" s="54">
        <v>1</v>
      </c>
      <c r="M52" s="54">
        <v>0.97</v>
      </c>
      <c r="N52" s="54" t="s">
        <v>69</v>
      </c>
      <c r="O52" s="54" t="s">
        <v>77</v>
      </c>
      <c r="P52" s="54">
        <v>97</v>
      </c>
      <c r="Q52" s="54">
        <v>97</v>
      </c>
      <c r="R52" s="54"/>
      <c r="S52" s="70">
        <v>46237</v>
      </c>
      <c r="T52" s="54" t="s">
        <v>97</v>
      </c>
      <c r="U52" s="54"/>
      <c r="V52" s="54">
        <v>1</v>
      </c>
      <c r="W52" s="54"/>
      <c r="X52" s="54" t="s">
        <v>114</v>
      </c>
      <c r="Y52" s="54"/>
      <c r="Z52" s="54"/>
      <c r="AA52" s="54"/>
      <c r="AB52" s="54" t="s">
        <v>275</v>
      </c>
    </row>
    <row r="53" spans="1:28" x14ac:dyDescent="0.3">
      <c r="A53" s="54">
        <v>52</v>
      </c>
      <c r="B53" s="54" t="s">
        <v>485</v>
      </c>
      <c r="C53" s="54" t="s">
        <v>90</v>
      </c>
      <c r="D53" s="54" t="s">
        <v>276</v>
      </c>
      <c r="E53" s="54" t="s">
        <v>101</v>
      </c>
      <c r="F53" s="54" t="s">
        <v>277</v>
      </c>
      <c r="G53" s="54" t="s">
        <v>40</v>
      </c>
      <c r="H53" s="54">
        <v>6</v>
      </c>
      <c r="I53" s="54">
        <v>1</v>
      </c>
      <c r="J53" s="54">
        <v>1</v>
      </c>
      <c r="K53" s="54"/>
      <c r="L53" s="54">
        <v>1</v>
      </c>
      <c r="M53" s="54"/>
      <c r="N53" s="54" t="s">
        <v>69</v>
      </c>
      <c r="O53" s="54" t="s">
        <v>82</v>
      </c>
      <c r="P53" s="54"/>
      <c r="Q53" s="54"/>
      <c r="R53" s="54"/>
      <c r="S53" s="70">
        <v>46244</v>
      </c>
      <c r="T53" s="54" t="s">
        <v>69</v>
      </c>
      <c r="U53" s="54"/>
      <c r="V53" s="54">
        <v>1</v>
      </c>
      <c r="W53" s="54"/>
      <c r="X53" s="54" t="s">
        <v>114</v>
      </c>
      <c r="Y53" s="54"/>
      <c r="Z53" s="54"/>
      <c r="AA53" s="54" t="s">
        <v>278</v>
      </c>
      <c r="AB53" s="54"/>
    </row>
    <row r="54" spans="1:28" x14ac:dyDescent="0.3">
      <c r="A54" s="54">
        <v>53</v>
      </c>
      <c r="B54" s="54" t="s">
        <v>485</v>
      </c>
      <c r="C54" s="54" t="s">
        <v>178</v>
      </c>
      <c r="D54" s="54" t="s">
        <v>279</v>
      </c>
      <c r="E54" s="54" t="s">
        <v>80</v>
      </c>
      <c r="F54" s="54" t="s">
        <v>280</v>
      </c>
      <c r="G54" s="54" t="s">
        <v>38</v>
      </c>
      <c r="H54" s="54">
        <v>1</v>
      </c>
      <c r="I54" s="54">
        <v>1</v>
      </c>
      <c r="J54" s="54">
        <v>2</v>
      </c>
      <c r="K54" s="54">
        <v>2.2799999999999998</v>
      </c>
      <c r="L54" s="54">
        <v>2</v>
      </c>
      <c r="M54" s="54">
        <v>2.2799999999999998</v>
      </c>
      <c r="N54" s="54" t="s">
        <v>69</v>
      </c>
      <c r="O54" s="54" t="s">
        <v>82</v>
      </c>
      <c r="P54" s="54">
        <v>114</v>
      </c>
      <c r="Q54" s="54">
        <v>114</v>
      </c>
      <c r="R54" s="54"/>
      <c r="S54" s="70">
        <v>46238</v>
      </c>
      <c r="T54" s="54" t="s">
        <v>97</v>
      </c>
      <c r="U54" s="54"/>
      <c r="V54" s="54">
        <v>1</v>
      </c>
      <c r="W54" s="54"/>
      <c r="X54" s="54" t="s">
        <v>181</v>
      </c>
      <c r="Y54" s="54"/>
      <c r="Z54" s="54" t="s">
        <v>281</v>
      </c>
      <c r="AA54" s="54"/>
      <c r="AB54" s="54" t="s">
        <v>282</v>
      </c>
    </row>
    <row r="55" spans="1:28" x14ac:dyDescent="0.3">
      <c r="A55" s="54">
        <v>54</v>
      </c>
      <c r="B55" s="54" t="s">
        <v>485</v>
      </c>
      <c r="C55" s="54" t="s">
        <v>283</v>
      </c>
      <c r="D55" s="54" t="s">
        <v>284</v>
      </c>
      <c r="E55" s="54" t="s">
        <v>112</v>
      </c>
      <c r="F55" s="54" t="s">
        <v>285</v>
      </c>
      <c r="G55" s="54" t="s">
        <v>37</v>
      </c>
      <c r="H55" s="54">
        <v>2</v>
      </c>
      <c r="I55" s="54">
        <v>1</v>
      </c>
      <c r="J55" s="54">
        <v>6.5</v>
      </c>
      <c r="K55" s="54">
        <v>7.63</v>
      </c>
      <c r="L55" s="54">
        <v>1.82</v>
      </c>
      <c r="M55" s="54">
        <v>7.63</v>
      </c>
      <c r="N55" s="54" t="s">
        <v>69</v>
      </c>
      <c r="O55" s="54" t="s">
        <v>77</v>
      </c>
      <c r="P55" s="54">
        <v>117.38</v>
      </c>
      <c r="Q55" s="54">
        <v>419.23</v>
      </c>
      <c r="R55" s="54"/>
      <c r="S55" s="70">
        <v>46239</v>
      </c>
      <c r="T55" s="54" t="s">
        <v>97</v>
      </c>
      <c r="U55" s="54"/>
      <c r="V55" s="54">
        <v>1</v>
      </c>
      <c r="W55" s="54"/>
      <c r="X55" s="54" t="s">
        <v>121</v>
      </c>
      <c r="Y55" s="54"/>
      <c r="Z55" s="54" t="s">
        <v>286</v>
      </c>
      <c r="AA55" s="54"/>
      <c r="AB55" s="54" t="s">
        <v>287</v>
      </c>
    </row>
    <row r="56" spans="1:28" x14ac:dyDescent="0.3">
      <c r="A56" s="54">
        <v>55</v>
      </c>
      <c r="B56" s="54" t="s">
        <v>485</v>
      </c>
      <c r="C56" s="54" t="s">
        <v>164</v>
      </c>
      <c r="D56" s="54" t="s">
        <v>288</v>
      </c>
      <c r="E56" s="54" t="s">
        <v>101</v>
      </c>
      <c r="F56" s="54" t="s">
        <v>289</v>
      </c>
      <c r="G56" s="54" t="s">
        <v>38</v>
      </c>
      <c r="H56" s="54">
        <v>31</v>
      </c>
      <c r="I56" s="54">
        <v>1</v>
      </c>
      <c r="J56" s="54">
        <v>2</v>
      </c>
      <c r="K56" s="54">
        <v>2.04</v>
      </c>
      <c r="L56" s="54">
        <v>2</v>
      </c>
      <c r="M56" s="54">
        <v>2.04</v>
      </c>
      <c r="N56" s="54" t="s">
        <v>69</v>
      </c>
      <c r="O56" s="54" t="s">
        <v>82</v>
      </c>
      <c r="P56" s="54">
        <v>102</v>
      </c>
      <c r="Q56" s="54">
        <v>102</v>
      </c>
      <c r="R56" s="54"/>
      <c r="S56" s="70">
        <v>46237</v>
      </c>
      <c r="T56" s="54" t="s">
        <v>83</v>
      </c>
      <c r="U56" s="54"/>
      <c r="V56" s="54">
        <v>1</v>
      </c>
      <c r="W56" s="54"/>
      <c r="X56" s="54" t="s">
        <v>181</v>
      </c>
      <c r="Y56" s="54"/>
      <c r="Z56" s="54" t="s">
        <v>290</v>
      </c>
      <c r="AA56" s="54" t="s">
        <v>291</v>
      </c>
      <c r="AB56" s="54" t="s">
        <v>292</v>
      </c>
    </row>
    <row r="57" spans="1:28" x14ac:dyDescent="0.3">
      <c r="A57" s="54">
        <v>56</v>
      </c>
      <c r="B57" s="54" t="s">
        <v>485</v>
      </c>
      <c r="C57" s="54" t="s">
        <v>164</v>
      </c>
      <c r="D57" s="54" t="s">
        <v>293</v>
      </c>
      <c r="E57" s="54" t="s">
        <v>101</v>
      </c>
      <c r="F57" s="54" t="s">
        <v>294</v>
      </c>
      <c r="G57" s="54" t="s">
        <v>38</v>
      </c>
      <c r="H57" s="54">
        <v>5</v>
      </c>
      <c r="I57" s="54">
        <v>1</v>
      </c>
      <c r="J57" s="54">
        <v>2</v>
      </c>
      <c r="K57" s="54">
        <v>2.65</v>
      </c>
      <c r="L57" s="54">
        <v>2</v>
      </c>
      <c r="M57" s="54">
        <v>2.65</v>
      </c>
      <c r="N57" s="54" t="s">
        <v>69</v>
      </c>
      <c r="O57" s="54" t="s">
        <v>77</v>
      </c>
      <c r="P57" s="54">
        <v>132.5</v>
      </c>
      <c r="Q57" s="54">
        <v>132.5</v>
      </c>
      <c r="R57" s="54"/>
      <c r="S57" s="70">
        <v>46238</v>
      </c>
      <c r="T57" s="54" t="s">
        <v>83</v>
      </c>
      <c r="U57" s="54"/>
      <c r="V57" s="54"/>
      <c r="W57" s="54"/>
      <c r="X57" s="54" t="s">
        <v>181</v>
      </c>
      <c r="Y57" s="54"/>
      <c r="Z57" s="54" t="s">
        <v>295</v>
      </c>
      <c r="AA57" s="54" t="s">
        <v>253</v>
      </c>
      <c r="AB57" s="54" t="s">
        <v>296</v>
      </c>
    </row>
    <row r="58" spans="1:28" x14ac:dyDescent="0.3">
      <c r="A58" s="54">
        <v>57</v>
      </c>
      <c r="B58" s="54" t="s">
        <v>485</v>
      </c>
      <c r="C58" s="54" t="s">
        <v>221</v>
      </c>
      <c r="D58" s="54" t="s">
        <v>300</v>
      </c>
      <c r="E58" s="54" t="s">
        <v>101</v>
      </c>
      <c r="F58" s="54" t="s">
        <v>301</v>
      </c>
      <c r="G58" s="54" t="s">
        <v>37</v>
      </c>
      <c r="H58" s="54">
        <v>43</v>
      </c>
      <c r="I58" s="54">
        <v>1</v>
      </c>
      <c r="J58" s="54">
        <v>3</v>
      </c>
      <c r="K58" s="54">
        <v>5.94</v>
      </c>
      <c r="L58" s="54"/>
      <c r="M58" s="54">
        <v>1.58</v>
      </c>
      <c r="N58" s="54" t="s">
        <v>69</v>
      </c>
      <c r="O58" s="54" t="s">
        <v>82</v>
      </c>
      <c r="P58" s="54">
        <v>198</v>
      </c>
      <c r="Q58" s="54"/>
      <c r="R58" s="54"/>
      <c r="S58" s="70">
        <v>46240</v>
      </c>
      <c r="T58" s="54" t="s">
        <v>107</v>
      </c>
      <c r="U58" s="54"/>
      <c r="V58" s="54"/>
      <c r="W58" s="54"/>
      <c r="X58" s="54" t="s">
        <v>121</v>
      </c>
      <c r="Y58" s="54">
        <v>1</v>
      </c>
      <c r="Z58" s="54" t="s">
        <v>302</v>
      </c>
      <c r="AA58" s="54" t="s">
        <v>303</v>
      </c>
      <c r="AB58" s="54" t="s">
        <v>304</v>
      </c>
    </row>
    <row r="59" spans="1:28" x14ac:dyDescent="0.3">
      <c r="A59" s="54">
        <v>58</v>
      </c>
      <c r="B59" s="54" t="s">
        <v>485</v>
      </c>
      <c r="C59" s="54" t="s">
        <v>110</v>
      </c>
      <c r="D59" s="54" t="s">
        <v>305</v>
      </c>
      <c r="E59" s="54" t="s">
        <v>244</v>
      </c>
      <c r="F59" s="54" t="s">
        <v>306</v>
      </c>
      <c r="G59" s="54" t="s">
        <v>40</v>
      </c>
      <c r="H59" s="54">
        <v>5</v>
      </c>
      <c r="I59" s="54">
        <v>1</v>
      </c>
      <c r="J59" s="54">
        <v>8</v>
      </c>
      <c r="K59" s="54">
        <v>7.86</v>
      </c>
      <c r="L59" s="54">
        <v>8</v>
      </c>
      <c r="M59" s="54">
        <v>7.86</v>
      </c>
      <c r="N59" s="54" t="s">
        <v>69</v>
      </c>
      <c r="O59" s="54" t="s">
        <v>82</v>
      </c>
      <c r="P59" s="54">
        <v>98.25</v>
      </c>
      <c r="Q59" s="54">
        <v>98.25</v>
      </c>
      <c r="R59" s="54"/>
      <c r="S59" s="70">
        <v>46240</v>
      </c>
      <c r="T59" s="54" t="s">
        <v>107</v>
      </c>
      <c r="U59" s="54"/>
      <c r="V59" s="54">
        <v>1</v>
      </c>
      <c r="W59" s="54"/>
      <c r="X59" s="54" t="s">
        <v>114</v>
      </c>
      <c r="Y59" s="54"/>
      <c r="Z59" s="54"/>
      <c r="AA59" s="54" t="s">
        <v>116</v>
      </c>
      <c r="AB59" s="54" t="s">
        <v>307</v>
      </c>
    </row>
    <row r="60" spans="1:28" x14ac:dyDescent="0.3">
      <c r="A60" s="54">
        <v>59</v>
      </c>
      <c r="B60" s="54" t="s">
        <v>485</v>
      </c>
      <c r="C60" s="54" t="s">
        <v>129</v>
      </c>
      <c r="D60" s="54" t="s">
        <v>308</v>
      </c>
      <c r="E60" s="54" t="s">
        <v>112</v>
      </c>
      <c r="F60" s="54" t="s">
        <v>309</v>
      </c>
      <c r="G60" s="54" t="s">
        <v>37</v>
      </c>
      <c r="H60" s="54">
        <v>0</v>
      </c>
      <c r="I60" s="54">
        <v>1</v>
      </c>
      <c r="J60" s="54">
        <v>0.75</v>
      </c>
      <c r="K60" s="54">
        <v>1.28</v>
      </c>
      <c r="L60" s="54">
        <v>0.75</v>
      </c>
      <c r="M60" s="54">
        <v>1.28</v>
      </c>
      <c r="N60" s="54" t="s">
        <v>69</v>
      </c>
      <c r="O60" s="54" t="s">
        <v>77</v>
      </c>
      <c r="P60" s="54">
        <v>170.67</v>
      </c>
      <c r="Q60" s="54">
        <v>170.67</v>
      </c>
      <c r="R60" s="54"/>
      <c r="S60" s="70">
        <v>46238</v>
      </c>
      <c r="T60" s="54" t="s">
        <v>97</v>
      </c>
      <c r="U60" s="54"/>
      <c r="V60" s="54">
        <v>1</v>
      </c>
      <c r="W60" s="54"/>
      <c r="X60" s="54" t="s">
        <v>121</v>
      </c>
      <c r="Y60" s="54"/>
      <c r="Z60" s="54" t="s">
        <v>310</v>
      </c>
      <c r="AA60" s="54"/>
      <c r="AB60" s="54" t="s">
        <v>311</v>
      </c>
    </row>
    <row r="61" spans="1:28" x14ac:dyDescent="0.3">
      <c r="A61" s="54">
        <v>60</v>
      </c>
      <c r="B61" s="54" t="s">
        <v>485</v>
      </c>
      <c r="C61" s="54" t="s">
        <v>164</v>
      </c>
      <c r="D61" s="54" t="s">
        <v>312</v>
      </c>
      <c r="E61" s="54" t="s">
        <v>125</v>
      </c>
      <c r="F61" s="54" t="s">
        <v>313</v>
      </c>
      <c r="G61" s="54" t="s">
        <v>38</v>
      </c>
      <c r="H61" s="54">
        <v>0</v>
      </c>
      <c r="I61" s="54">
        <v>1</v>
      </c>
      <c r="J61" s="54">
        <v>0.75</v>
      </c>
      <c r="K61" s="54">
        <v>0.76</v>
      </c>
      <c r="L61" s="54">
        <v>0.75</v>
      </c>
      <c r="M61" s="54">
        <v>0.76</v>
      </c>
      <c r="N61" s="54" t="s">
        <v>69</v>
      </c>
      <c r="O61" s="54" t="s">
        <v>77</v>
      </c>
      <c r="P61" s="54">
        <v>101.33</v>
      </c>
      <c r="Q61" s="54">
        <v>101.33</v>
      </c>
      <c r="R61" s="54"/>
      <c r="S61" s="70">
        <v>46238</v>
      </c>
      <c r="T61" s="54" t="s">
        <v>97</v>
      </c>
      <c r="U61" s="54"/>
      <c r="V61" s="54">
        <v>1</v>
      </c>
      <c r="W61" s="54"/>
      <c r="X61" s="54" t="s">
        <v>181</v>
      </c>
      <c r="Y61" s="54"/>
      <c r="Z61" s="54" t="s">
        <v>314</v>
      </c>
      <c r="AA61" s="54"/>
      <c r="AB61" s="54" t="s">
        <v>315</v>
      </c>
    </row>
    <row r="62" spans="1:28" x14ac:dyDescent="0.3">
      <c r="A62" s="54">
        <v>61</v>
      </c>
      <c r="B62" s="54" t="s">
        <v>485</v>
      </c>
      <c r="C62" s="54" t="s">
        <v>90</v>
      </c>
      <c r="D62" s="54" t="s">
        <v>316</v>
      </c>
      <c r="E62" s="54" t="s">
        <v>143</v>
      </c>
      <c r="F62" s="54" t="s">
        <v>317</v>
      </c>
      <c r="G62" s="54" t="s">
        <v>38</v>
      </c>
      <c r="H62" s="54"/>
      <c r="I62" s="54">
        <v>1</v>
      </c>
      <c r="J62" s="54">
        <v>0.5</v>
      </c>
      <c r="K62" s="54">
        <v>0.52</v>
      </c>
      <c r="L62" s="54">
        <v>0.5</v>
      </c>
      <c r="M62" s="54">
        <v>0.52</v>
      </c>
      <c r="N62" s="54" t="s">
        <v>97</v>
      </c>
      <c r="O62" s="54" t="s">
        <v>77</v>
      </c>
      <c r="P62" s="54">
        <v>104</v>
      </c>
      <c r="Q62" s="54">
        <v>104</v>
      </c>
      <c r="R62" s="54"/>
      <c r="S62" s="70">
        <v>46238</v>
      </c>
      <c r="T62" s="54" t="s">
        <v>97</v>
      </c>
      <c r="U62" s="54"/>
      <c r="V62" s="54">
        <v>1</v>
      </c>
      <c r="W62" s="54"/>
      <c r="X62" s="54" t="s">
        <v>181</v>
      </c>
      <c r="Y62" s="54"/>
      <c r="Z62" s="54" t="s">
        <v>318</v>
      </c>
      <c r="AA62" s="54"/>
      <c r="AB62" s="54" t="s">
        <v>319</v>
      </c>
    </row>
    <row r="63" spans="1:28" x14ac:dyDescent="0.3">
      <c r="A63" s="54">
        <v>62</v>
      </c>
      <c r="B63" s="54" t="s">
        <v>485</v>
      </c>
      <c r="C63" s="54" t="s">
        <v>90</v>
      </c>
      <c r="D63" s="54" t="s">
        <v>320</v>
      </c>
      <c r="E63" s="54" t="s">
        <v>101</v>
      </c>
      <c r="F63" s="54" t="s">
        <v>321</v>
      </c>
      <c r="G63" s="54" t="s">
        <v>40</v>
      </c>
      <c r="H63" s="54">
        <v>2</v>
      </c>
      <c r="I63" s="54">
        <v>1</v>
      </c>
      <c r="J63" s="54">
        <v>0.5</v>
      </c>
      <c r="K63" s="54">
        <v>0.51</v>
      </c>
      <c r="L63" s="54">
        <v>0.5</v>
      </c>
      <c r="M63" s="54">
        <v>0.51</v>
      </c>
      <c r="N63" s="54" t="s">
        <v>107</v>
      </c>
      <c r="O63" s="54" t="s">
        <v>77</v>
      </c>
      <c r="P63" s="54">
        <v>102</v>
      </c>
      <c r="Q63" s="54">
        <v>102</v>
      </c>
      <c r="R63" s="54"/>
      <c r="S63" s="70">
        <v>46238</v>
      </c>
      <c r="T63" s="54" t="s">
        <v>97</v>
      </c>
      <c r="U63" s="54"/>
      <c r="V63" s="54">
        <v>1</v>
      </c>
      <c r="W63" s="54"/>
      <c r="X63" s="54" t="s">
        <v>114</v>
      </c>
      <c r="Y63" s="54"/>
      <c r="Z63" s="54" t="s">
        <v>322</v>
      </c>
      <c r="AA63" s="54"/>
      <c r="AB63" s="54" t="s">
        <v>323</v>
      </c>
    </row>
    <row r="64" spans="1:28" x14ac:dyDescent="0.3">
      <c r="A64" s="54">
        <v>63</v>
      </c>
      <c r="B64" s="54" t="s">
        <v>485</v>
      </c>
      <c r="C64" s="54" t="s">
        <v>129</v>
      </c>
      <c r="D64" s="54" t="s">
        <v>324</v>
      </c>
      <c r="E64" s="54" t="s">
        <v>125</v>
      </c>
      <c r="F64" s="54" t="s">
        <v>325</v>
      </c>
      <c r="G64" s="54" t="s">
        <v>37</v>
      </c>
      <c r="H64" s="54">
        <v>0</v>
      </c>
      <c r="I64" s="54">
        <v>1</v>
      </c>
      <c r="J64" s="54">
        <v>1</v>
      </c>
      <c r="K64" s="54">
        <v>1.25</v>
      </c>
      <c r="L64" s="54">
        <v>1</v>
      </c>
      <c r="M64" s="54">
        <v>1.25</v>
      </c>
      <c r="N64" s="54" t="s">
        <v>69</v>
      </c>
      <c r="O64" s="54" t="s">
        <v>77</v>
      </c>
      <c r="P64" s="54">
        <v>125</v>
      </c>
      <c r="Q64" s="54">
        <v>125</v>
      </c>
      <c r="R64" s="54"/>
      <c r="S64" s="70">
        <v>46238</v>
      </c>
      <c r="T64" s="54" t="s">
        <v>97</v>
      </c>
      <c r="U64" s="54"/>
      <c r="V64" s="54">
        <v>1</v>
      </c>
      <c r="W64" s="54"/>
      <c r="X64" s="54" t="s">
        <v>121</v>
      </c>
      <c r="Y64" s="54"/>
      <c r="Z64" s="54" t="s">
        <v>326</v>
      </c>
      <c r="AA64" s="54"/>
      <c r="AB64" s="54" t="s">
        <v>327</v>
      </c>
    </row>
    <row r="65" spans="1:28" x14ac:dyDescent="0.3">
      <c r="A65" s="54">
        <v>64</v>
      </c>
      <c r="B65" s="54" t="s">
        <v>485</v>
      </c>
      <c r="C65" s="54" t="s">
        <v>164</v>
      </c>
      <c r="D65" s="54" t="s">
        <v>328</v>
      </c>
      <c r="E65" s="54" t="s">
        <v>125</v>
      </c>
      <c r="F65" s="54" t="s">
        <v>329</v>
      </c>
      <c r="G65" s="54" t="s">
        <v>38</v>
      </c>
      <c r="H65" s="54">
        <v>2</v>
      </c>
      <c r="I65" s="54">
        <v>1</v>
      </c>
      <c r="J65" s="54">
        <v>0.5</v>
      </c>
      <c r="K65" s="54">
        <v>0.45</v>
      </c>
      <c r="L65" s="54">
        <v>0.5</v>
      </c>
      <c r="M65" s="54">
        <v>0.45</v>
      </c>
      <c r="N65" s="54" t="s">
        <v>69</v>
      </c>
      <c r="O65" s="54" t="s">
        <v>82</v>
      </c>
      <c r="P65" s="54">
        <v>90</v>
      </c>
      <c r="Q65" s="54">
        <v>90</v>
      </c>
      <c r="R65" s="54"/>
      <c r="S65" s="70">
        <v>46238</v>
      </c>
      <c r="T65" s="54" t="s">
        <v>97</v>
      </c>
      <c r="U65" s="54"/>
      <c r="V65" s="54">
        <v>1</v>
      </c>
      <c r="W65" s="54"/>
      <c r="X65" s="54" t="s">
        <v>181</v>
      </c>
      <c r="Y65" s="54"/>
      <c r="Z65" s="54"/>
      <c r="AA65" s="54"/>
      <c r="AB65" s="54" t="s">
        <v>330</v>
      </c>
    </row>
    <row r="66" spans="1:28" x14ac:dyDescent="0.3">
      <c r="A66" s="54">
        <v>65</v>
      </c>
      <c r="B66" s="54" t="s">
        <v>485</v>
      </c>
      <c r="C66" s="54" t="s">
        <v>129</v>
      </c>
      <c r="D66" s="54" t="s">
        <v>331</v>
      </c>
      <c r="E66" s="54" t="s">
        <v>101</v>
      </c>
      <c r="F66" s="54" t="s">
        <v>332</v>
      </c>
      <c r="G66" s="54" t="s">
        <v>37</v>
      </c>
      <c r="H66" s="54"/>
      <c r="I66" s="54">
        <v>1</v>
      </c>
      <c r="J66" s="54">
        <v>0.5</v>
      </c>
      <c r="K66" s="54">
        <v>0.87</v>
      </c>
      <c r="L66" s="54">
        <v>0.5</v>
      </c>
      <c r="M66" s="54">
        <v>0.87</v>
      </c>
      <c r="N66" s="54" t="s">
        <v>97</v>
      </c>
      <c r="O66" s="54" t="s">
        <v>77</v>
      </c>
      <c r="P66" s="54">
        <v>174</v>
      </c>
      <c r="Q66" s="54">
        <v>174</v>
      </c>
      <c r="R66" s="54"/>
      <c r="S66" s="54"/>
      <c r="T66" s="54" t="s">
        <v>97</v>
      </c>
      <c r="U66" s="54"/>
      <c r="V66" s="54">
        <v>1</v>
      </c>
      <c r="W66" s="54"/>
      <c r="X66" s="54" t="s">
        <v>121</v>
      </c>
      <c r="Y66" s="54"/>
      <c r="Z66" s="54" t="s">
        <v>333</v>
      </c>
      <c r="AA66" s="54"/>
      <c r="AB66" s="54" t="s">
        <v>334</v>
      </c>
    </row>
    <row r="67" spans="1:28" x14ac:dyDescent="0.3">
      <c r="A67" s="54">
        <v>66</v>
      </c>
      <c r="B67" s="54" t="s">
        <v>485</v>
      </c>
      <c r="C67" s="54" t="s">
        <v>164</v>
      </c>
      <c r="D67" s="54" t="s">
        <v>335</v>
      </c>
      <c r="E67" s="54" t="s">
        <v>101</v>
      </c>
      <c r="F67" s="54" t="s">
        <v>336</v>
      </c>
      <c r="G67" s="54" t="s">
        <v>38</v>
      </c>
      <c r="H67" s="54">
        <v>1</v>
      </c>
      <c r="I67" s="54">
        <v>1</v>
      </c>
      <c r="J67" s="54">
        <v>1</v>
      </c>
      <c r="K67" s="54">
        <v>0.79</v>
      </c>
      <c r="L67" s="54">
        <v>1</v>
      </c>
      <c r="M67" s="54">
        <v>0.79</v>
      </c>
      <c r="N67" s="54" t="s">
        <v>69</v>
      </c>
      <c r="O67" s="54" t="s">
        <v>77</v>
      </c>
      <c r="P67" s="54">
        <v>79</v>
      </c>
      <c r="Q67" s="54">
        <v>79</v>
      </c>
      <c r="R67" s="54"/>
      <c r="S67" s="70">
        <v>46239</v>
      </c>
      <c r="T67" s="54" t="s">
        <v>97</v>
      </c>
      <c r="U67" s="54"/>
      <c r="V67" s="54"/>
      <c r="W67" s="54"/>
      <c r="X67" s="54" t="s">
        <v>181</v>
      </c>
      <c r="Y67" s="54"/>
      <c r="Z67" s="54"/>
      <c r="AA67" s="54"/>
      <c r="AB67" s="54" t="s">
        <v>337</v>
      </c>
    </row>
    <row r="68" spans="1:28" x14ac:dyDescent="0.3">
      <c r="A68" s="54">
        <v>67</v>
      </c>
      <c r="B68" s="54" t="s">
        <v>485</v>
      </c>
      <c r="C68" s="54" t="s">
        <v>129</v>
      </c>
      <c r="D68" s="54" t="s">
        <v>338</v>
      </c>
      <c r="E68" s="54" t="s">
        <v>101</v>
      </c>
      <c r="F68" s="54" t="s">
        <v>339</v>
      </c>
      <c r="G68" s="54" t="s">
        <v>40</v>
      </c>
      <c r="H68" s="54">
        <v>4</v>
      </c>
      <c r="I68" s="54">
        <v>1</v>
      </c>
      <c r="J68" s="54">
        <v>2</v>
      </c>
      <c r="K68" s="54">
        <v>0.47</v>
      </c>
      <c r="L68" s="54">
        <v>2</v>
      </c>
      <c r="M68" s="54">
        <v>0.47</v>
      </c>
      <c r="N68" s="54" t="s">
        <v>69</v>
      </c>
      <c r="O68" s="54" t="s">
        <v>77</v>
      </c>
      <c r="P68" s="54">
        <v>23.5</v>
      </c>
      <c r="Q68" s="54">
        <v>23.5</v>
      </c>
      <c r="R68" s="54"/>
      <c r="S68" s="70">
        <v>46242</v>
      </c>
      <c r="T68" s="54" t="s">
        <v>107</v>
      </c>
      <c r="U68" s="54"/>
      <c r="V68" s="54">
        <v>1</v>
      </c>
      <c r="W68" s="54"/>
      <c r="X68" s="54" t="s">
        <v>121</v>
      </c>
      <c r="Y68" s="54"/>
      <c r="Z68" s="54" t="s">
        <v>340</v>
      </c>
      <c r="AA68" s="54" t="s">
        <v>341</v>
      </c>
      <c r="AB68" s="54" t="s">
        <v>342</v>
      </c>
    </row>
    <row r="69" spans="1:28" x14ac:dyDescent="0.3">
      <c r="A69" s="54">
        <v>68</v>
      </c>
      <c r="B69" s="54" t="s">
        <v>485</v>
      </c>
      <c r="C69" s="54" t="s">
        <v>90</v>
      </c>
      <c r="D69" s="54" t="s">
        <v>348</v>
      </c>
      <c r="E69" s="54" t="s">
        <v>125</v>
      </c>
      <c r="F69" s="54" t="s">
        <v>349</v>
      </c>
      <c r="G69" s="54" t="s">
        <v>37</v>
      </c>
      <c r="H69" s="54">
        <v>4</v>
      </c>
      <c r="I69" s="54">
        <v>1</v>
      </c>
      <c r="J69" s="54">
        <v>2</v>
      </c>
      <c r="K69" s="54"/>
      <c r="L69" s="54">
        <v>2</v>
      </c>
      <c r="M69" s="54"/>
      <c r="N69" s="54" t="s">
        <v>69</v>
      </c>
      <c r="O69" s="54" t="s">
        <v>77</v>
      </c>
      <c r="P69" s="54"/>
      <c r="Q69" s="54"/>
      <c r="R69" s="54"/>
      <c r="S69" s="70">
        <v>46242</v>
      </c>
      <c r="T69" s="54" t="s">
        <v>69</v>
      </c>
      <c r="U69" s="54"/>
      <c r="V69" s="54">
        <v>1</v>
      </c>
      <c r="W69" s="54"/>
      <c r="X69" s="54" t="s">
        <v>121</v>
      </c>
      <c r="Y69" s="54"/>
      <c r="Z69" s="54"/>
      <c r="AA69" s="54" t="s">
        <v>168</v>
      </c>
      <c r="AB69" s="54"/>
    </row>
    <row r="70" spans="1:28" x14ac:dyDescent="0.3">
      <c r="A70" s="54">
        <v>69</v>
      </c>
      <c r="B70" s="54" t="s">
        <v>485</v>
      </c>
      <c r="C70" s="54" t="s">
        <v>283</v>
      </c>
      <c r="D70" s="54" t="s">
        <v>350</v>
      </c>
      <c r="E70" s="54" t="s">
        <v>80</v>
      </c>
      <c r="F70" s="54" t="s">
        <v>351</v>
      </c>
      <c r="G70" s="54" t="s">
        <v>37</v>
      </c>
      <c r="H70" s="54">
        <v>0</v>
      </c>
      <c r="I70" s="54">
        <v>1</v>
      </c>
      <c r="J70" s="54">
        <v>1</v>
      </c>
      <c r="K70" s="54">
        <v>1.19</v>
      </c>
      <c r="L70" s="54">
        <v>1</v>
      </c>
      <c r="M70" s="54">
        <v>1.19</v>
      </c>
      <c r="N70" s="54" t="s">
        <v>69</v>
      </c>
      <c r="O70" s="54" t="s">
        <v>82</v>
      </c>
      <c r="P70" s="54">
        <v>119</v>
      </c>
      <c r="Q70" s="54">
        <v>119</v>
      </c>
      <c r="R70" s="54"/>
      <c r="S70" s="70">
        <v>46239</v>
      </c>
      <c r="T70" s="54" t="s">
        <v>97</v>
      </c>
      <c r="U70" s="54"/>
      <c r="V70" s="54">
        <v>1</v>
      </c>
      <c r="W70" s="54"/>
      <c r="X70" s="54" t="s">
        <v>121</v>
      </c>
      <c r="Y70" s="54"/>
      <c r="Z70" s="54" t="s">
        <v>352</v>
      </c>
      <c r="AA70" s="54"/>
      <c r="AB70" s="54" t="s">
        <v>353</v>
      </c>
    </row>
    <row r="71" spans="1:28" x14ac:dyDescent="0.3">
      <c r="A71" s="54">
        <v>70</v>
      </c>
      <c r="B71" s="54" t="s">
        <v>485</v>
      </c>
      <c r="C71" s="54" t="s">
        <v>104</v>
      </c>
      <c r="D71" s="54" t="s">
        <v>354</v>
      </c>
      <c r="E71" s="54" t="s">
        <v>101</v>
      </c>
      <c r="F71" s="54" t="s">
        <v>355</v>
      </c>
      <c r="G71" s="54" t="s">
        <v>38</v>
      </c>
      <c r="H71" s="54">
        <v>4</v>
      </c>
      <c r="I71" s="54">
        <v>1</v>
      </c>
      <c r="J71" s="54">
        <v>1</v>
      </c>
      <c r="K71" s="54">
        <v>0.99</v>
      </c>
      <c r="L71" s="54">
        <v>1</v>
      </c>
      <c r="M71" s="54">
        <v>0.99</v>
      </c>
      <c r="N71" s="54" t="s">
        <v>83</v>
      </c>
      <c r="O71" s="54" t="s">
        <v>77</v>
      </c>
      <c r="P71" s="54">
        <v>99</v>
      </c>
      <c r="Q71" s="54">
        <v>99</v>
      </c>
      <c r="R71" s="54"/>
      <c r="S71" s="70">
        <v>46239</v>
      </c>
      <c r="T71" s="54" t="s">
        <v>83</v>
      </c>
      <c r="U71" s="54"/>
      <c r="V71" s="54">
        <v>1</v>
      </c>
      <c r="W71" s="54"/>
      <c r="X71" s="54" t="s">
        <v>181</v>
      </c>
      <c r="Y71" s="54"/>
      <c r="Z71" s="54"/>
      <c r="AA71" s="54" t="s">
        <v>356</v>
      </c>
      <c r="AB71" s="54" t="s">
        <v>357</v>
      </c>
    </row>
    <row r="72" spans="1:28" x14ac:dyDescent="0.3">
      <c r="A72" s="54">
        <v>71</v>
      </c>
      <c r="B72" s="54" t="s">
        <v>485</v>
      </c>
      <c r="C72" s="54" t="s">
        <v>178</v>
      </c>
      <c r="D72" s="54" t="s">
        <v>358</v>
      </c>
      <c r="E72" s="54" t="s">
        <v>101</v>
      </c>
      <c r="F72" s="54" t="s">
        <v>359</v>
      </c>
      <c r="G72" s="54" t="s">
        <v>38</v>
      </c>
      <c r="H72" s="54">
        <v>4</v>
      </c>
      <c r="I72" s="54">
        <v>1</v>
      </c>
      <c r="J72" s="54">
        <v>1</v>
      </c>
      <c r="K72" s="54">
        <v>1.46</v>
      </c>
      <c r="L72" s="54">
        <v>1</v>
      </c>
      <c r="M72" s="54">
        <v>1.46</v>
      </c>
      <c r="N72" s="54" t="s">
        <v>69</v>
      </c>
      <c r="O72" s="54" t="s">
        <v>82</v>
      </c>
      <c r="P72" s="54">
        <v>146</v>
      </c>
      <c r="Q72" s="54">
        <v>146</v>
      </c>
      <c r="R72" s="54"/>
      <c r="S72" s="70">
        <v>46240</v>
      </c>
      <c r="T72" s="54" t="s">
        <v>83</v>
      </c>
      <c r="U72" s="54"/>
      <c r="V72" s="54">
        <v>1</v>
      </c>
      <c r="W72" s="54"/>
      <c r="X72" s="54" t="s">
        <v>181</v>
      </c>
      <c r="Y72" s="54"/>
      <c r="Z72" s="54" t="s">
        <v>360</v>
      </c>
      <c r="AA72" s="54" t="s">
        <v>234</v>
      </c>
      <c r="AB72" s="54" t="s">
        <v>361</v>
      </c>
    </row>
    <row r="73" spans="1:28" x14ac:dyDescent="0.3">
      <c r="A73" s="54">
        <v>72</v>
      </c>
      <c r="B73" s="54" t="s">
        <v>485</v>
      </c>
      <c r="C73" s="54" t="s">
        <v>178</v>
      </c>
      <c r="D73" s="54" t="s">
        <v>362</v>
      </c>
      <c r="E73" s="54" t="s">
        <v>101</v>
      </c>
      <c r="F73" s="54" t="s">
        <v>363</v>
      </c>
      <c r="G73" s="54" t="s">
        <v>38</v>
      </c>
      <c r="H73" s="54">
        <v>4</v>
      </c>
      <c r="I73" s="54">
        <v>1</v>
      </c>
      <c r="J73" s="54">
        <v>0.75</v>
      </c>
      <c r="K73" s="54">
        <v>0.65</v>
      </c>
      <c r="L73" s="54">
        <v>0.75</v>
      </c>
      <c r="M73" s="54">
        <v>0.65</v>
      </c>
      <c r="N73" s="54" t="s">
        <v>69</v>
      </c>
      <c r="O73" s="54" t="s">
        <v>82</v>
      </c>
      <c r="P73" s="54">
        <v>86.67</v>
      </c>
      <c r="Q73" s="54">
        <v>86.67</v>
      </c>
      <c r="R73" s="54"/>
      <c r="S73" s="70">
        <v>46241</v>
      </c>
      <c r="T73" s="54" t="s">
        <v>107</v>
      </c>
      <c r="U73" s="54"/>
      <c r="V73" s="54">
        <v>1</v>
      </c>
      <c r="W73" s="54"/>
      <c r="X73" s="54" t="s">
        <v>181</v>
      </c>
      <c r="Y73" s="54"/>
      <c r="Z73" s="54"/>
      <c r="AA73" s="54" t="s">
        <v>364</v>
      </c>
      <c r="AB73" s="54" t="s">
        <v>365</v>
      </c>
    </row>
    <row r="74" spans="1:28" x14ac:dyDescent="0.3">
      <c r="A74" s="54">
        <v>73</v>
      </c>
      <c r="B74" s="54" t="s">
        <v>485</v>
      </c>
      <c r="C74" s="54" t="s">
        <v>178</v>
      </c>
      <c r="D74" s="54" t="s">
        <v>366</v>
      </c>
      <c r="E74" s="54" t="s">
        <v>125</v>
      </c>
      <c r="F74" s="54" t="s">
        <v>367</v>
      </c>
      <c r="G74" s="54" t="s">
        <v>38</v>
      </c>
      <c r="H74" s="54">
        <v>4</v>
      </c>
      <c r="I74" s="54">
        <v>1</v>
      </c>
      <c r="J74" s="54">
        <v>1</v>
      </c>
      <c r="K74" s="54">
        <v>1.22</v>
      </c>
      <c r="L74" s="54">
        <v>1</v>
      </c>
      <c r="M74" s="54">
        <v>1.22</v>
      </c>
      <c r="N74" s="54" t="s">
        <v>69</v>
      </c>
      <c r="O74" s="54" t="s">
        <v>82</v>
      </c>
      <c r="P74" s="54">
        <v>122</v>
      </c>
      <c r="Q74" s="54">
        <v>122</v>
      </c>
      <c r="R74" s="54"/>
      <c r="S74" s="70">
        <v>46240</v>
      </c>
      <c r="T74" s="54" t="s">
        <v>83</v>
      </c>
      <c r="U74" s="54"/>
      <c r="V74" s="54">
        <v>1</v>
      </c>
      <c r="W74" s="54"/>
      <c r="X74" s="54" t="s">
        <v>181</v>
      </c>
      <c r="Y74" s="54"/>
      <c r="Z74" s="54" t="s">
        <v>368</v>
      </c>
      <c r="AA74" s="54" t="s">
        <v>234</v>
      </c>
      <c r="AB74" s="54" t="s">
        <v>369</v>
      </c>
    </row>
    <row r="75" spans="1:28" x14ac:dyDescent="0.3">
      <c r="A75" s="54">
        <v>74</v>
      </c>
      <c r="B75" s="54" t="s">
        <v>485</v>
      </c>
      <c r="C75" s="54" t="s">
        <v>178</v>
      </c>
      <c r="D75" s="54" t="s">
        <v>370</v>
      </c>
      <c r="E75" s="54" t="s">
        <v>125</v>
      </c>
      <c r="F75" s="54" t="s">
        <v>371</v>
      </c>
      <c r="G75" s="54" t="s">
        <v>38</v>
      </c>
      <c r="H75" s="54">
        <v>4</v>
      </c>
      <c r="I75" s="54">
        <v>1</v>
      </c>
      <c r="J75" s="54">
        <v>0.75</v>
      </c>
      <c r="K75" s="54">
        <v>1.02</v>
      </c>
      <c r="L75" s="54">
        <v>0.75</v>
      </c>
      <c r="M75" s="54">
        <v>1.02</v>
      </c>
      <c r="N75" s="54" t="s">
        <v>69</v>
      </c>
      <c r="O75" s="54" t="s">
        <v>82</v>
      </c>
      <c r="P75" s="54">
        <v>136</v>
      </c>
      <c r="Q75" s="54">
        <v>136</v>
      </c>
      <c r="R75" s="54"/>
      <c r="S75" s="70">
        <v>46239</v>
      </c>
      <c r="T75" s="54" t="s">
        <v>83</v>
      </c>
      <c r="U75" s="54"/>
      <c r="V75" s="54">
        <v>1</v>
      </c>
      <c r="W75" s="54"/>
      <c r="X75" s="54" t="s">
        <v>181</v>
      </c>
      <c r="Y75" s="54"/>
      <c r="Z75" s="54" t="s">
        <v>372</v>
      </c>
      <c r="AA75" s="54" t="s">
        <v>234</v>
      </c>
      <c r="AB75" s="54" t="s">
        <v>373</v>
      </c>
    </row>
    <row r="76" spans="1:28" x14ac:dyDescent="0.3">
      <c r="A76" s="54">
        <v>75</v>
      </c>
      <c r="B76" s="54" t="s">
        <v>485</v>
      </c>
      <c r="C76" s="54" t="s">
        <v>178</v>
      </c>
      <c r="D76" s="54" t="s">
        <v>374</v>
      </c>
      <c r="E76" s="54" t="s">
        <v>125</v>
      </c>
      <c r="F76" s="54" t="s">
        <v>375</v>
      </c>
      <c r="G76" s="54" t="s">
        <v>38</v>
      </c>
      <c r="H76" s="54">
        <v>4</v>
      </c>
      <c r="I76" s="54">
        <v>1</v>
      </c>
      <c r="J76" s="54">
        <v>1</v>
      </c>
      <c r="K76" s="54">
        <v>1.1499999999999999</v>
      </c>
      <c r="L76" s="54">
        <v>1</v>
      </c>
      <c r="M76" s="54">
        <v>1.1499999999999999</v>
      </c>
      <c r="N76" s="54" t="s">
        <v>69</v>
      </c>
      <c r="O76" s="54" t="s">
        <v>82</v>
      </c>
      <c r="P76" s="54">
        <v>115</v>
      </c>
      <c r="Q76" s="54">
        <v>115</v>
      </c>
      <c r="R76" s="54"/>
      <c r="S76" s="70">
        <v>46239</v>
      </c>
      <c r="T76" s="54" t="s">
        <v>83</v>
      </c>
      <c r="U76" s="54"/>
      <c r="V76" s="54">
        <v>1</v>
      </c>
      <c r="W76" s="54"/>
      <c r="X76" s="54" t="s">
        <v>181</v>
      </c>
      <c r="Y76" s="54"/>
      <c r="Z76" s="54" t="s">
        <v>376</v>
      </c>
      <c r="AA76" s="54" t="s">
        <v>234</v>
      </c>
      <c r="AB76" s="54" t="s">
        <v>377</v>
      </c>
    </row>
    <row r="77" spans="1:28" x14ac:dyDescent="0.3">
      <c r="A77" s="54">
        <v>76</v>
      </c>
      <c r="B77" s="54" t="s">
        <v>485</v>
      </c>
      <c r="C77" s="54" t="s">
        <v>221</v>
      </c>
      <c r="D77" s="54" t="s">
        <v>385</v>
      </c>
      <c r="E77" s="54" t="s">
        <v>112</v>
      </c>
      <c r="F77" s="54" t="s">
        <v>386</v>
      </c>
      <c r="G77" s="54" t="s">
        <v>40</v>
      </c>
      <c r="H77" s="54">
        <v>4</v>
      </c>
      <c r="I77" s="54">
        <v>1</v>
      </c>
      <c r="J77" s="54">
        <v>1</v>
      </c>
      <c r="K77" s="54">
        <v>2.0499999999999998</v>
      </c>
      <c r="L77" s="54">
        <v>1</v>
      </c>
      <c r="M77" s="54">
        <v>2.0499999999999998</v>
      </c>
      <c r="N77" s="54" t="s">
        <v>69</v>
      </c>
      <c r="O77" s="54" t="s">
        <v>77</v>
      </c>
      <c r="P77" s="54">
        <v>205</v>
      </c>
      <c r="Q77" s="54">
        <v>205</v>
      </c>
      <c r="R77" s="54"/>
      <c r="S77" s="70">
        <v>46241</v>
      </c>
      <c r="T77" s="54" t="s">
        <v>107</v>
      </c>
      <c r="U77" s="54"/>
      <c r="V77" s="54">
        <v>1</v>
      </c>
      <c r="W77" s="54"/>
      <c r="X77" s="54" t="s">
        <v>114</v>
      </c>
      <c r="Y77" s="54"/>
      <c r="Z77" s="54" t="s">
        <v>387</v>
      </c>
      <c r="AA77" s="54" t="s">
        <v>388</v>
      </c>
      <c r="AB77" s="54" t="s">
        <v>389</v>
      </c>
    </row>
    <row r="78" spans="1:28" x14ac:dyDescent="0.3">
      <c r="A78" s="54">
        <v>77</v>
      </c>
      <c r="B78" s="54" t="s">
        <v>485</v>
      </c>
      <c r="C78" s="54" t="s">
        <v>390</v>
      </c>
      <c r="D78" s="54" t="s">
        <v>391</v>
      </c>
      <c r="E78" s="54" t="s">
        <v>125</v>
      </c>
      <c r="F78" s="54" t="s">
        <v>392</v>
      </c>
      <c r="G78" s="54" t="s">
        <v>39</v>
      </c>
      <c r="H78" s="54">
        <v>0</v>
      </c>
      <c r="I78" s="54">
        <v>1</v>
      </c>
      <c r="J78" s="54">
        <v>1</v>
      </c>
      <c r="K78" s="54">
        <v>0.35</v>
      </c>
      <c r="L78" s="54">
        <v>1</v>
      </c>
      <c r="M78" s="54">
        <v>0.35</v>
      </c>
      <c r="N78" s="54" t="s">
        <v>69</v>
      </c>
      <c r="O78" s="54" t="s">
        <v>77</v>
      </c>
      <c r="P78" s="54">
        <v>35</v>
      </c>
      <c r="Q78" s="54">
        <v>35</v>
      </c>
      <c r="R78" s="54"/>
      <c r="S78" s="70">
        <v>46239</v>
      </c>
      <c r="T78" s="54" t="s">
        <v>97</v>
      </c>
      <c r="U78" s="54"/>
      <c r="V78" s="54">
        <v>1</v>
      </c>
      <c r="W78" s="54"/>
      <c r="X78" s="54" t="s">
        <v>71</v>
      </c>
      <c r="Y78" s="54"/>
      <c r="Z78" s="54"/>
      <c r="AA78" s="54"/>
      <c r="AB78" s="54" t="s">
        <v>393</v>
      </c>
    </row>
    <row r="79" spans="1:28" x14ac:dyDescent="0.3">
      <c r="A79" s="54">
        <v>78</v>
      </c>
      <c r="B79" s="54" t="s">
        <v>485</v>
      </c>
      <c r="C79" s="54" t="s">
        <v>164</v>
      </c>
      <c r="D79" s="54" t="s">
        <v>394</v>
      </c>
      <c r="E79" s="54" t="s">
        <v>67</v>
      </c>
      <c r="F79" s="54" t="s">
        <v>395</v>
      </c>
      <c r="G79" s="54" t="s">
        <v>38</v>
      </c>
      <c r="H79" s="54">
        <v>0</v>
      </c>
      <c r="I79" s="54">
        <v>1</v>
      </c>
      <c r="J79" s="54">
        <v>0.75</v>
      </c>
      <c r="K79" s="54">
        <v>0.99</v>
      </c>
      <c r="L79" s="54">
        <v>0.75</v>
      </c>
      <c r="M79" s="54">
        <v>0.99</v>
      </c>
      <c r="N79" s="54" t="s">
        <v>69</v>
      </c>
      <c r="O79" s="54" t="s">
        <v>77</v>
      </c>
      <c r="P79" s="54">
        <v>132</v>
      </c>
      <c r="Q79" s="54">
        <v>132</v>
      </c>
      <c r="R79" s="54"/>
      <c r="S79" s="70">
        <v>46239</v>
      </c>
      <c r="T79" s="54" t="s">
        <v>97</v>
      </c>
      <c r="U79" s="54"/>
      <c r="V79" s="54">
        <v>1</v>
      </c>
      <c r="W79" s="54"/>
      <c r="X79" s="54" t="s">
        <v>181</v>
      </c>
      <c r="Y79" s="54"/>
      <c r="Z79" s="54" t="s">
        <v>396</v>
      </c>
      <c r="AA79" s="54"/>
      <c r="AB79" s="54" t="s">
        <v>397</v>
      </c>
    </row>
    <row r="80" spans="1:28" x14ac:dyDescent="0.3">
      <c r="A80" s="54">
        <v>79</v>
      </c>
      <c r="B80" s="54" t="s">
        <v>485</v>
      </c>
      <c r="C80" s="54" t="s">
        <v>73</v>
      </c>
      <c r="D80" s="54" t="s">
        <v>398</v>
      </c>
      <c r="E80" s="54" t="s">
        <v>101</v>
      </c>
      <c r="F80" s="54" t="s">
        <v>399</v>
      </c>
      <c r="G80" s="54" t="s">
        <v>39</v>
      </c>
      <c r="H80" s="54">
        <v>12</v>
      </c>
      <c r="I80" s="54">
        <v>1</v>
      </c>
      <c r="J80" s="54">
        <v>0.25</v>
      </c>
      <c r="K80" s="54">
        <v>0.25</v>
      </c>
      <c r="L80" s="54">
        <v>0.25</v>
      </c>
      <c r="M80" s="54">
        <v>0.11</v>
      </c>
      <c r="N80" s="54" t="s">
        <v>107</v>
      </c>
      <c r="O80" s="54" t="s">
        <v>77</v>
      </c>
      <c r="P80" s="54">
        <v>100</v>
      </c>
      <c r="Q80" s="54">
        <v>44</v>
      </c>
      <c r="R80" s="54"/>
      <c r="S80" s="70">
        <v>46232</v>
      </c>
      <c r="T80" s="54" t="s">
        <v>83</v>
      </c>
      <c r="U80" s="54"/>
      <c r="V80" s="54">
        <v>1</v>
      </c>
      <c r="W80" s="54"/>
      <c r="X80" s="54" t="s">
        <v>71</v>
      </c>
      <c r="Y80" s="54"/>
      <c r="Z80" s="54"/>
      <c r="AA80" s="54" t="s">
        <v>85</v>
      </c>
      <c r="AB80" s="54" t="s">
        <v>400</v>
      </c>
    </row>
    <row r="81" spans="1:28" x14ac:dyDescent="0.3">
      <c r="A81" s="54">
        <v>80</v>
      </c>
      <c r="B81" s="54" t="s">
        <v>485</v>
      </c>
      <c r="C81" s="54" t="s">
        <v>90</v>
      </c>
      <c r="D81" s="54" t="s">
        <v>401</v>
      </c>
      <c r="E81" s="54" t="s">
        <v>67</v>
      </c>
      <c r="F81" s="54" t="s">
        <v>402</v>
      </c>
      <c r="G81" s="54" t="s">
        <v>40</v>
      </c>
      <c r="H81" s="54">
        <v>1</v>
      </c>
      <c r="I81" s="54">
        <v>1</v>
      </c>
      <c r="J81" s="54">
        <v>0.5</v>
      </c>
      <c r="K81" s="54">
        <v>0.73</v>
      </c>
      <c r="L81" s="54">
        <v>0.5</v>
      </c>
      <c r="M81" s="54">
        <v>0.73</v>
      </c>
      <c r="N81" s="54" t="s">
        <v>69</v>
      </c>
      <c r="O81" s="54" t="s">
        <v>77</v>
      </c>
      <c r="P81" s="54">
        <v>146</v>
      </c>
      <c r="Q81" s="54">
        <v>146</v>
      </c>
      <c r="R81" s="54"/>
      <c r="S81" s="70">
        <v>46239</v>
      </c>
      <c r="T81" s="54" t="s">
        <v>97</v>
      </c>
      <c r="U81" s="54"/>
      <c r="V81" s="54"/>
      <c r="W81" s="54"/>
      <c r="X81" s="54" t="s">
        <v>114</v>
      </c>
      <c r="Y81" s="54"/>
      <c r="Z81" s="54" t="s">
        <v>403</v>
      </c>
      <c r="AA81" s="54" t="s">
        <v>116</v>
      </c>
      <c r="AB81" s="54" t="s">
        <v>404</v>
      </c>
    </row>
    <row r="82" spans="1:28" x14ac:dyDescent="0.3">
      <c r="A82" s="54">
        <v>81</v>
      </c>
      <c r="B82" s="54" t="s">
        <v>485</v>
      </c>
      <c r="C82" s="54" t="s">
        <v>405</v>
      </c>
      <c r="D82" s="54" t="s">
        <v>406</v>
      </c>
      <c r="E82" s="54" t="s">
        <v>101</v>
      </c>
      <c r="F82" s="54" t="s">
        <v>407</v>
      </c>
      <c r="G82" s="54" t="s">
        <v>38</v>
      </c>
      <c r="H82" s="54">
        <v>3</v>
      </c>
      <c r="I82" s="54">
        <v>1</v>
      </c>
      <c r="J82" s="54">
        <v>3.5</v>
      </c>
      <c r="K82" s="54">
        <v>4.43</v>
      </c>
      <c r="L82" s="54">
        <v>3.5</v>
      </c>
      <c r="M82" s="54">
        <v>4.43</v>
      </c>
      <c r="N82" s="54" t="s">
        <v>69</v>
      </c>
      <c r="O82" s="54" t="s">
        <v>77</v>
      </c>
      <c r="P82" s="54">
        <v>126.57</v>
      </c>
      <c r="Q82" s="54">
        <v>126.57</v>
      </c>
      <c r="R82" s="54"/>
      <c r="S82" s="70">
        <v>46241</v>
      </c>
      <c r="T82" s="54" t="s">
        <v>107</v>
      </c>
      <c r="U82" s="54"/>
      <c r="V82" s="54"/>
      <c r="W82" s="54"/>
      <c r="X82" s="54" t="s">
        <v>181</v>
      </c>
      <c r="Y82" s="54"/>
      <c r="Z82" s="54" t="s">
        <v>408</v>
      </c>
      <c r="AA82" s="54" t="s">
        <v>364</v>
      </c>
      <c r="AB82" s="54" t="s">
        <v>409</v>
      </c>
    </row>
    <row r="83" spans="1:28" x14ac:dyDescent="0.3">
      <c r="A83" s="54">
        <v>82</v>
      </c>
      <c r="B83" s="54" t="s">
        <v>485</v>
      </c>
      <c r="C83" s="54" t="s">
        <v>405</v>
      </c>
      <c r="D83" s="54" t="s">
        <v>410</v>
      </c>
      <c r="E83" s="54" t="s">
        <v>101</v>
      </c>
      <c r="F83" s="54" t="s">
        <v>411</v>
      </c>
      <c r="G83" s="54" t="s">
        <v>38</v>
      </c>
      <c r="H83" s="54">
        <v>3</v>
      </c>
      <c r="I83" s="54">
        <v>1</v>
      </c>
      <c r="J83" s="54">
        <v>2.5</v>
      </c>
      <c r="K83" s="54">
        <v>3.15</v>
      </c>
      <c r="L83" s="54">
        <v>2.5</v>
      </c>
      <c r="M83" s="54">
        <v>3.15</v>
      </c>
      <c r="N83" s="54" t="s">
        <v>69</v>
      </c>
      <c r="O83" s="54" t="s">
        <v>77</v>
      </c>
      <c r="P83" s="54">
        <v>126</v>
      </c>
      <c r="Q83" s="54">
        <v>126</v>
      </c>
      <c r="R83" s="54"/>
      <c r="S83" s="70">
        <v>46242</v>
      </c>
      <c r="T83" s="54" t="s">
        <v>69</v>
      </c>
      <c r="U83" s="54"/>
      <c r="V83" s="54"/>
      <c r="W83" s="54"/>
      <c r="X83" s="54" t="s">
        <v>181</v>
      </c>
      <c r="Y83" s="54"/>
      <c r="Z83" s="54"/>
      <c r="AA83" s="54" t="s">
        <v>364</v>
      </c>
      <c r="AB83" s="54"/>
    </row>
    <row r="84" spans="1:28" x14ac:dyDescent="0.3">
      <c r="A84" s="54">
        <v>83</v>
      </c>
      <c r="B84" s="54" t="s">
        <v>485</v>
      </c>
      <c r="C84" s="54" t="s">
        <v>412</v>
      </c>
      <c r="D84" s="54" t="s">
        <v>413</v>
      </c>
      <c r="E84" s="54" t="s">
        <v>143</v>
      </c>
      <c r="F84" s="54" t="s">
        <v>414</v>
      </c>
      <c r="G84" s="54" t="s">
        <v>39</v>
      </c>
      <c r="H84" s="54">
        <v>12</v>
      </c>
      <c r="I84" s="54">
        <v>1</v>
      </c>
      <c r="J84" s="54">
        <v>0.5</v>
      </c>
      <c r="K84" s="54">
        <v>0.38</v>
      </c>
      <c r="L84" s="54">
        <v>0.5</v>
      </c>
      <c r="M84" s="54"/>
      <c r="N84" s="54" t="s">
        <v>69</v>
      </c>
      <c r="O84" s="54" t="s">
        <v>77</v>
      </c>
      <c r="P84" s="54">
        <v>76</v>
      </c>
      <c r="Q84" s="54"/>
      <c r="R84" s="54"/>
      <c r="S84" s="70">
        <v>46240</v>
      </c>
      <c r="T84" s="54" t="s">
        <v>69</v>
      </c>
      <c r="U84" s="54"/>
      <c r="V84" s="54"/>
      <c r="W84" s="54"/>
      <c r="X84" s="54" t="s">
        <v>71</v>
      </c>
      <c r="Y84" s="54"/>
      <c r="Z84" s="54"/>
      <c r="AA84" s="54" t="s">
        <v>415</v>
      </c>
      <c r="AB84" s="54"/>
    </row>
    <row r="85" spans="1:28" x14ac:dyDescent="0.3">
      <c r="A85" s="54">
        <v>84</v>
      </c>
      <c r="B85" s="54" t="s">
        <v>485</v>
      </c>
      <c r="C85" s="54" t="s">
        <v>129</v>
      </c>
      <c r="D85" s="54" t="s">
        <v>416</v>
      </c>
      <c r="E85" s="54" t="s">
        <v>101</v>
      </c>
      <c r="F85" s="54" t="s">
        <v>417</v>
      </c>
      <c r="G85" s="54" t="s">
        <v>37</v>
      </c>
      <c r="H85" s="54">
        <v>0</v>
      </c>
      <c r="I85" s="54">
        <v>1</v>
      </c>
      <c r="J85" s="54">
        <v>1.5</v>
      </c>
      <c r="K85" s="54">
        <v>2.41</v>
      </c>
      <c r="L85" s="54">
        <v>1.5</v>
      </c>
      <c r="M85" s="54">
        <v>2.41</v>
      </c>
      <c r="N85" s="54" t="s">
        <v>107</v>
      </c>
      <c r="O85" s="54" t="s">
        <v>77</v>
      </c>
      <c r="P85" s="54">
        <v>160.66999999999999</v>
      </c>
      <c r="Q85" s="54">
        <v>160.66999999999999</v>
      </c>
      <c r="R85" s="54"/>
      <c r="S85" s="70">
        <v>46240</v>
      </c>
      <c r="T85" s="54" t="s">
        <v>97</v>
      </c>
      <c r="U85" s="54"/>
      <c r="V85" s="54">
        <v>1</v>
      </c>
      <c r="W85" s="54"/>
      <c r="X85" s="54" t="s">
        <v>121</v>
      </c>
      <c r="Y85" s="54"/>
      <c r="Z85" s="54"/>
      <c r="AA85" s="54"/>
      <c r="AB85" s="54" t="s">
        <v>418</v>
      </c>
    </row>
    <row r="86" spans="1:28" x14ac:dyDescent="0.3">
      <c r="A86" s="54">
        <v>85</v>
      </c>
      <c r="B86" s="54" t="s">
        <v>485</v>
      </c>
      <c r="C86" s="54" t="s">
        <v>73</v>
      </c>
      <c r="D86" s="54" t="s">
        <v>419</v>
      </c>
      <c r="E86" s="54" t="s">
        <v>143</v>
      </c>
      <c r="F86" s="54" t="s">
        <v>420</v>
      </c>
      <c r="G86" s="54" t="s">
        <v>39</v>
      </c>
      <c r="H86" s="54">
        <v>3</v>
      </c>
      <c r="I86" s="54">
        <v>1</v>
      </c>
      <c r="J86" s="54">
        <v>0.5</v>
      </c>
      <c r="K86" s="54">
        <v>1.1399999999999999</v>
      </c>
      <c r="L86" s="54">
        <v>0.5</v>
      </c>
      <c r="M86" s="54">
        <v>1.1399999999999999</v>
      </c>
      <c r="N86" s="54" t="s">
        <v>161</v>
      </c>
      <c r="O86" s="54" t="s">
        <v>257</v>
      </c>
      <c r="P86" s="54">
        <v>228</v>
      </c>
      <c r="Q86" s="54">
        <v>228</v>
      </c>
      <c r="R86" s="54"/>
      <c r="S86" s="70">
        <v>46240</v>
      </c>
      <c r="T86" s="54" t="s">
        <v>83</v>
      </c>
      <c r="U86" s="54"/>
      <c r="V86" s="54">
        <v>1</v>
      </c>
      <c r="W86" s="54"/>
      <c r="X86" s="54" t="s">
        <v>71</v>
      </c>
      <c r="Y86" s="54">
        <v>1</v>
      </c>
      <c r="Z86" s="54" t="s">
        <v>421</v>
      </c>
      <c r="AA86" s="54" t="s">
        <v>422</v>
      </c>
      <c r="AB86" s="54" t="s">
        <v>423</v>
      </c>
    </row>
    <row r="87" spans="1:28" x14ac:dyDescent="0.3">
      <c r="A87" s="54">
        <v>86</v>
      </c>
      <c r="B87" s="54" t="s">
        <v>485</v>
      </c>
      <c r="C87" s="54" t="s">
        <v>90</v>
      </c>
      <c r="D87" s="54" t="s">
        <v>424</v>
      </c>
      <c r="E87" s="54" t="s">
        <v>112</v>
      </c>
      <c r="F87" s="54" t="s">
        <v>425</v>
      </c>
      <c r="G87" s="54" t="s">
        <v>39</v>
      </c>
      <c r="H87" s="54">
        <v>0</v>
      </c>
      <c r="I87" s="54">
        <v>1</v>
      </c>
      <c r="J87" s="54">
        <v>1</v>
      </c>
      <c r="K87" s="54">
        <v>1.18</v>
      </c>
      <c r="L87" s="54">
        <v>1</v>
      </c>
      <c r="M87" s="54">
        <v>1.18</v>
      </c>
      <c r="N87" s="54" t="s">
        <v>69</v>
      </c>
      <c r="O87" s="54" t="s">
        <v>77</v>
      </c>
      <c r="P87" s="54">
        <v>118</v>
      </c>
      <c r="Q87" s="54">
        <v>118</v>
      </c>
      <c r="R87" s="54"/>
      <c r="S87" s="70">
        <v>46240</v>
      </c>
      <c r="T87" s="54" t="s">
        <v>97</v>
      </c>
      <c r="U87" s="54"/>
      <c r="V87" s="54">
        <v>1</v>
      </c>
      <c r="W87" s="54"/>
      <c r="X87" s="54" t="s">
        <v>71</v>
      </c>
      <c r="Y87" s="54"/>
      <c r="Z87" s="54" t="s">
        <v>426</v>
      </c>
      <c r="AA87" s="54"/>
      <c r="AB87" s="54" t="s">
        <v>427</v>
      </c>
    </row>
    <row r="88" spans="1:28" x14ac:dyDescent="0.3">
      <c r="A88" s="54">
        <v>87</v>
      </c>
      <c r="B88" s="54" t="s">
        <v>485</v>
      </c>
      <c r="C88" s="54" t="s">
        <v>283</v>
      </c>
      <c r="D88" s="54" t="s">
        <v>428</v>
      </c>
      <c r="E88" s="54" t="s">
        <v>101</v>
      </c>
      <c r="F88" s="54" t="s">
        <v>429</v>
      </c>
      <c r="G88" s="54" t="s">
        <v>37</v>
      </c>
      <c r="H88" s="54">
        <v>1</v>
      </c>
      <c r="I88" s="54">
        <v>1</v>
      </c>
      <c r="J88" s="54">
        <v>1</v>
      </c>
      <c r="K88" s="54">
        <v>0.63</v>
      </c>
      <c r="L88" s="54">
        <v>1</v>
      </c>
      <c r="M88" s="54">
        <v>0.63</v>
      </c>
      <c r="N88" s="54" t="s">
        <v>69</v>
      </c>
      <c r="O88" s="54" t="s">
        <v>77</v>
      </c>
      <c r="P88" s="54">
        <v>63</v>
      </c>
      <c r="Q88" s="54">
        <v>63</v>
      </c>
      <c r="R88" s="54"/>
      <c r="S88" s="70">
        <v>46240</v>
      </c>
      <c r="T88" s="54" t="s">
        <v>97</v>
      </c>
      <c r="U88" s="54"/>
      <c r="V88" s="54">
        <v>1</v>
      </c>
      <c r="W88" s="54"/>
      <c r="X88" s="54" t="s">
        <v>121</v>
      </c>
      <c r="Y88" s="54"/>
      <c r="Z88" s="54"/>
      <c r="AA88" s="54"/>
      <c r="AB88" s="54" t="s">
        <v>430</v>
      </c>
    </row>
    <row r="89" spans="1:28" x14ac:dyDescent="0.3">
      <c r="A89" s="54">
        <v>88</v>
      </c>
      <c r="B89" s="54" t="s">
        <v>485</v>
      </c>
      <c r="C89" s="54" t="s">
        <v>283</v>
      </c>
      <c r="D89" s="54" t="s">
        <v>431</v>
      </c>
      <c r="E89" s="54" t="s">
        <v>101</v>
      </c>
      <c r="F89" s="54" t="s">
        <v>432</v>
      </c>
      <c r="G89" s="54" t="s">
        <v>37</v>
      </c>
      <c r="H89" s="54">
        <v>1</v>
      </c>
      <c r="I89" s="54">
        <v>1</v>
      </c>
      <c r="J89" s="54">
        <v>1.5</v>
      </c>
      <c r="K89" s="54">
        <v>1.08</v>
      </c>
      <c r="L89" s="54">
        <v>1.5</v>
      </c>
      <c r="M89" s="54">
        <v>1.08</v>
      </c>
      <c r="N89" s="54" t="s">
        <v>69</v>
      </c>
      <c r="O89" s="54" t="s">
        <v>77</v>
      </c>
      <c r="P89" s="54">
        <v>72</v>
      </c>
      <c r="Q89" s="54">
        <v>72</v>
      </c>
      <c r="R89" s="54"/>
      <c r="S89" s="70">
        <v>46240</v>
      </c>
      <c r="T89" s="54" t="s">
        <v>97</v>
      </c>
      <c r="U89" s="54"/>
      <c r="V89" s="54">
        <v>1</v>
      </c>
      <c r="W89" s="54"/>
      <c r="X89" s="54" t="s">
        <v>121</v>
      </c>
      <c r="Y89" s="54"/>
      <c r="Z89" s="54" t="s">
        <v>433</v>
      </c>
      <c r="AA89" s="54"/>
      <c r="AB89" s="54" t="s">
        <v>434</v>
      </c>
    </row>
    <row r="90" spans="1:28" x14ac:dyDescent="0.3">
      <c r="A90" s="54">
        <v>89</v>
      </c>
      <c r="B90" s="54" t="s">
        <v>485</v>
      </c>
      <c r="C90" s="54" t="s">
        <v>283</v>
      </c>
      <c r="D90" s="54" t="s">
        <v>435</v>
      </c>
      <c r="E90" s="54" t="s">
        <v>80</v>
      </c>
      <c r="F90" s="54" t="s">
        <v>436</v>
      </c>
      <c r="G90" s="54" t="s">
        <v>37</v>
      </c>
      <c r="H90" s="54">
        <v>0</v>
      </c>
      <c r="I90" s="54">
        <v>1</v>
      </c>
      <c r="J90" s="54">
        <v>1</v>
      </c>
      <c r="K90" s="54">
        <v>0.64</v>
      </c>
      <c r="L90" s="54">
        <v>1</v>
      </c>
      <c r="M90" s="54">
        <v>0.64</v>
      </c>
      <c r="N90" s="54" t="s">
        <v>69</v>
      </c>
      <c r="O90" s="54" t="s">
        <v>82</v>
      </c>
      <c r="P90" s="54">
        <v>64</v>
      </c>
      <c r="Q90" s="54">
        <v>64</v>
      </c>
      <c r="R90" s="54"/>
      <c r="S90" s="70">
        <v>46240</v>
      </c>
      <c r="T90" s="54" t="s">
        <v>97</v>
      </c>
      <c r="U90" s="54"/>
      <c r="V90" s="54">
        <v>1</v>
      </c>
      <c r="W90" s="54"/>
      <c r="X90" s="54" t="s">
        <v>121</v>
      </c>
      <c r="Y90" s="54"/>
      <c r="Z90" s="54"/>
      <c r="AA90" s="54"/>
      <c r="AB90" s="54" t="s">
        <v>437</v>
      </c>
    </row>
    <row r="91" spans="1:28" x14ac:dyDescent="0.3">
      <c r="A91" s="54">
        <v>90</v>
      </c>
      <c r="B91" s="54" t="s">
        <v>485</v>
      </c>
      <c r="C91" s="54" t="s">
        <v>65</v>
      </c>
      <c r="D91" s="54" t="s">
        <v>442</v>
      </c>
      <c r="E91" s="54" t="s">
        <v>112</v>
      </c>
      <c r="F91" s="54" t="s">
        <v>443</v>
      </c>
      <c r="G91" s="54" t="s">
        <v>40</v>
      </c>
      <c r="H91" s="54">
        <v>3</v>
      </c>
      <c r="I91" s="54">
        <v>1</v>
      </c>
      <c r="J91" s="54">
        <v>4</v>
      </c>
      <c r="K91" s="54">
        <v>2.38</v>
      </c>
      <c r="L91" s="54">
        <v>4</v>
      </c>
      <c r="M91" s="54">
        <v>2.38</v>
      </c>
      <c r="N91" s="54" t="s">
        <v>69</v>
      </c>
      <c r="O91" s="54" t="s">
        <v>82</v>
      </c>
      <c r="P91" s="54">
        <v>59.5</v>
      </c>
      <c r="Q91" s="54">
        <v>59.5</v>
      </c>
      <c r="R91" s="54"/>
      <c r="S91" s="70">
        <v>46242</v>
      </c>
      <c r="T91" s="54" t="s">
        <v>69</v>
      </c>
      <c r="U91" s="54"/>
      <c r="V91" s="54">
        <v>1</v>
      </c>
      <c r="W91" s="54"/>
      <c r="X91" s="54" t="s">
        <v>114</v>
      </c>
      <c r="Y91" s="54"/>
      <c r="Z91" s="54"/>
      <c r="AA91" s="54" t="s">
        <v>444</v>
      </c>
      <c r="AB91" s="54"/>
    </row>
    <row r="92" spans="1:28" x14ac:dyDescent="0.3">
      <c r="A92" s="54">
        <v>91</v>
      </c>
      <c r="B92" s="54" t="s">
        <v>485</v>
      </c>
      <c r="C92" s="54" t="s">
        <v>164</v>
      </c>
      <c r="D92" s="54" t="s">
        <v>445</v>
      </c>
      <c r="E92" s="54" t="s">
        <v>143</v>
      </c>
      <c r="F92" s="54" t="s">
        <v>446</v>
      </c>
      <c r="G92" s="54" t="s">
        <v>38</v>
      </c>
      <c r="H92" s="54"/>
      <c r="I92" s="54">
        <v>1</v>
      </c>
      <c r="J92" s="54">
        <v>0.5</v>
      </c>
      <c r="K92" s="54">
        <v>0.35</v>
      </c>
      <c r="L92" s="54">
        <v>0.5</v>
      </c>
      <c r="M92" s="54">
        <v>0.35</v>
      </c>
      <c r="N92" s="54" t="s">
        <v>97</v>
      </c>
      <c r="O92" s="54" t="s">
        <v>77</v>
      </c>
      <c r="P92" s="54">
        <v>70</v>
      </c>
      <c r="Q92" s="54">
        <v>70</v>
      </c>
      <c r="R92" s="54"/>
      <c r="S92" s="70">
        <v>46240</v>
      </c>
      <c r="T92" s="54" t="s">
        <v>97</v>
      </c>
      <c r="U92" s="54"/>
      <c r="V92" s="54">
        <v>1</v>
      </c>
      <c r="W92" s="54"/>
      <c r="X92" s="54" t="s">
        <v>181</v>
      </c>
      <c r="Y92" s="54"/>
      <c r="Z92" s="54"/>
      <c r="AA92" s="54"/>
      <c r="AB92" s="54" t="s">
        <v>447</v>
      </c>
    </row>
    <row r="93" spans="1:28" x14ac:dyDescent="0.3">
      <c r="A93" s="54">
        <v>92</v>
      </c>
      <c r="B93" s="54" t="s">
        <v>485</v>
      </c>
      <c r="C93" s="54" t="s">
        <v>104</v>
      </c>
      <c r="D93" s="54" t="s">
        <v>448</v>
      </c>
      <c r="E93" s="54" t="s">
        <v>80</v>
      </c>
      <c r="F93" s="54" t="s">
        <v>449</v>
      </c>
      <c r="G93" s="54" t="s">
        <v>40</v>
      </c>
      <c r="H93" s="54">
        <v>0</v>
      </c>
      <c r="I93" s="54">
        <v>1</v>
      </c>
      <c r="J93" s="54">
        <v>1</v>
      </c>
      <c r="K93" s="54">
        <v>1.03</v>
      </c>
      <c r="L93" s="54">
        <v>1</v>
      </c>
      <c r="M93" s="54">
        <v>1.03</v>
      </c>
      <c r="N93" s="54" t="s">
        <v>69</v>
      </c>
      <c r="O93" s="54" t="s">
        <v>82</v>
      </c>
      <c r="P93" s="54">
        <v>103</v>
      </c>
      <c r="Q93" s="54">
        <v>103</v>
      </c>
      <c r="R93" s="54"/>
      <c r="S93" s="70">
        <v>46240</v>
      </c>
      <c r="T93" s="54" t="s">
        <v>97</v>
      </c>
      <c r="U93" s="54"/>
      <c r="V93" s="54">
        <v>1</v>
      </c>
      <c r="W93" s="54"/>
      <c r="X93" s="54" t="s">
        <v>114</v>
      </c>
      <c r="Y93" s="54"/>
      <c r="Z93" s="54"/>
      <c r="AA93" s="54"/>
      <c r="AB93" s="54"/>
    </row>
    <row r="94" spans="1:28" x14ac:dyDescent="0.3">
      <c r="A94" s="54">
        <v>93</v>
      </c>
      <c r="B94" s="54" t="s">
        <v>485</v>
      </c>
      <c r="C94" s="54" t="s">
        <v>129</v>
      </c>
      <c r="D94" s="54" t="s">
        <v>450</v>
      </c>
      <c r="E94" s="54" t="s">
        <v>101</v>
      </c>
      <c r="F94" s="54" t="s">
        <v>451</v>
      </c>
      <c r="G94" s="54" t="s">
        <v>37</v>
      </c>
      <c r="H94" s="54"/>
      <c r="I94" s="54">
        <v>1</v>
      </c>
      <c r="J94" s="54">
        <v>0.5</v>
      </c>
      <c r="K94" s="54">
        <v>0.37</v>
      </c>
      <c r="L94" s="54">
        <v>0.5</v>
      </c>
      <c r="M94" s="54">
        <v>0.37</v>
      </c>
      <c r="N94" s="54" t="s">
        <v>97</v>
      </c>
      <c r="O94" s="54" t="s">
        <v>77</v>
      </c>
      <c r="P94" s="54">
        <v>74</v>
      </c>
      <c r="Q94" s="54">
        <v>74</v>
      </c>
      <c r="R94" s="54"/>
      <c r="S94" s="70">
        <v>46240</v>
      </c>
      <c r="T94" s="54" t="s">
        <v>97</v>
      </c>
      <c r="U94" s="54"/>
      <c r="V94" s="54">
        <v>1</v>
      </c>
      <c r="W94" s="54"/>
      <c r="X94" s="54" t="s">
        <v>121</v>
      </c>
      <c r="Y94" s="54"/>
      <c r="Z94" s="54"/>
      <c r="AA94" s="54"/>
      <c r="AB94" s="54" t="s">
        <v>452</v>
      </c>
    </row>
    <row r="95" spans="1:28" x14ac:dyDescent="0.3">
      <c r="A95" s="54">
        <v>94</v>
      </c>
      <c r="B95" s="54" t="s">
        <v>485</v>
      </c>
      <c r="C95" s="54" t="s">
        <v>104</v>
      </c>
      <c r="D95" s="54" t="s">
        <v>453</v>
      </c>
      <c r="E95" s="54" t="s">
        <v>80</v>
      </c>
      <c r="F95" s="54" t="s">
        <v>454</v>
      </c>
      <c r="G95" s="54" t="s">
        <v>40</v>
      </c>
      <c r="H95" s="54">
        <v>0</v>
      </c>
      <c r="I95" s="54">
        <v>1</v>
      </c>
      <c r="J95" s="54">
        <v>1</v>
      </c>
      <c r="K95" s="54">
        <v>1.68</v>
      </c>
      <c r="L95" s="54">
        <v>1</v>
      </c>
      <c r="M95" s="54">
        <v>1.68</v>
      </c>
      <c r="N95" s="54" t="s">
        <v>69</v>
      </c>
      <c r="O95" s="54" t="s">
        <v>82</v>
      </c>
      <c r="P95" s="54">
        <v>168</v>
      </c>
      <c r="Q95" s="54">
        <v>168</v>
      </c>
      <c r="R95" s="54"/>
      <c r="S95" s="70">
        <v>46241</v>
      </c>
      <c r="T95" s="54" t="s">
        <v>97</v>
      </c>
      <c r="U95" s="54"/>
      <c r="V95" s="54">
        <v>1</v>
      </c>
      <c r="W95" s="54"/>
      <c r="X95" s="54" t="s">
        <v>114</v>
      </c>
      <c r="Y95" s="54"/>
      <c r="Z95" s="54"/>
      <c r="AA95" s="54" t="s">
        <v>455</v>
      </c>
      <c r="AB95" s="54"/>
    </row>
    <row r="96" spans="1:28" x14ac:dyDescent="0.3">
      <c r="A96" s="54">
        <v>95</v>
      </c>
      <c r="B96" s="54" t="s">
        <v>485</v>
      </c>
      <c r="C96" s="54" t="s">
        <v>178</v>
      </c>
      <c r="D96" s="54" t="s">
        <v>456</v>
      </c>
      <c r="E96" s="54" t="s">
        <v>101</v>
      </c>
      <c r="F96" s="54" t="s">
        <v>457</v>
      </c>
      <c r="G96" s="54" t="s">
        <v>40</v>
      </c>
      <c r="H96" s="54">
        <v>4</v>
      </c>
      <c r="I96" s="54">
        <v>1</v>
      </c>
      <c r="J96" s="54">
        <v>0.75</v>
      </c>
      <c r="K96" s="54">
        <v>0.92</v>
      </c>
      <c r="L96" s="54">
        <v>0.75</v>
      </c>
      <c r="M96" s="54">
        <v>0.92</v>
      </c>
      <c r="N96" s="54" t="s">
        <v>69</v>
      </c>
      <c r="O96" s="54" t="s">
        <v>82</v>
      </c>
      <c r="P96" s="54">
        <v>122.67</v>
      </c>
      <c r="Q96" s="54">
        <v>122.67</v>
      </c>
      <c r="R96" s="54"/>
      <c r="S96" s="70">
        <v>46241</v>
      </c>
      <c r="T96" s="54" t="s">
        <v>107</v>
      </c>
      <c r="U96" s="54"/>
      <c r="V96" s="54">
        <v>1</v>
      </c>
      <c r="W96" s="54"/>
      <c r="X96" s="54" t="s">
        <v>114</v>
      </c>
      <c r="Y96" s="54"/>
      <c r="Z96" s="54"/>
      <c r="AA96" s="54" t="s">
        <v>458</v>
      </c>
      <c r="AB96" s="54" t="s">
        <v>459</v>
      </c>
    </row>
    <row r="97" spans="1:28" x14ac:dyDescent="0.3">
      <c r="A97" s="54">
        <v>96</v>
      </c>
      <c r="B97" s="54" t="s">
        <v>485</v>
      </c>
      <c r="C97" s="54" t="s">
        <v>104</v>
      </c>
      <c r="D97" s="54" t="s">
        <v>460</v>
      </c>
      <c r="E97" s="54" t="s">
        <v>80</v>
      </c>
      <c r="F97" s="54" t="s">
        <v>461</v>
      </c>
      <c r="G97" s="54" t="s">
        <v>38</v>
      </c>
      <c r="H97" s="54"/>
      <c r="I97" s="54">
        <v>1</v>
      </c>
      <c r="J97" s="54">
        <v>1</v>
      </c>
      <c r="K97" s="54">
        <v>1.68</v>
      </c>
      <c r="L97" s="54">
        <v>1</v>
      </c>
      <c r="M97" s="54">
        <v>1.68</v>
      </c>
      <c r="N97" s="54" t="s">
        <v>69</v>
      </c>
      <c r="O97" s="54" t="s">
        <v>77</v>
      </c>
      <c r="P97" s="54">
        <v>168</v>
      </c>
      <c r="Q97" s="54">
        <v>168</v>
      </c>
      <c r="R97" s="54"/>
      <c r="S97" s="70">
        <v>46241</v>
      </c>
      <c r="T97" s="54" t="s">
        <v>97</v>
      </c>
      <c r="U97" s="54"/>
      <c r="V97" s="54">
        <v>1</v>
      </c>
      <c r="W97" s="54"/>
      <c r="X97" s="54" t="s">
        <v>181</v>
      </c>
      <c r="Y97" s="54"/>
      <c r="Z97" s="54"/>
      <c r="AA97" s="54" t="s">
        <v>364</v>
      </c>
      <c r="AB97" s="54"/>
    </row>
    <row r="98" spans="1:28" x14ac:dyDescent="0.3">
      <c r="A98" s="54">
        <v>97</v>
      </c>
      <c r="B98" s="54" t="s">
        <v>485</v>
      </c>
      <c r="C98" s="54" t="s">
        <v>90</v>
      </c>
      <c r="D98" s="54" t="s">
        <v>462</v>
      </c>
      <c r="E98" s="54" t="s">
        <v>112</v>
      </c>
      <c r="F98" s="54" t="s">
        <v>463</v>
      </c>
      <c r="G98" s="54" t="s">
        <v>39</v>
      </c>
      <c r="H98" s="54">
        <v>2</v>
      </c>
      <c r="I98" s="54">
        <v>1</v>
      </c>
      <c r="J98" s="54">
        <v>1</v>
      </c>
      <c r="K98" s="54">
        <v>1.18</v>
      </c>
      <c r="L98" s="54">
        <v>1</v>
      </c>
      <c r="M98" s="54">
        <v>1.18</v>
      </c>
      <c r="N98" s="54" t="s">
        <v>69</v>
      </c>
      <c r="O98" s="54" t="s">
        <v>77</v>
      </c>
      <c r="P98" s="54">
        <v>118</v>
      </c>
      <c r="Q98" s="54">
        <v>118</v>
      </c>
      <c r="R98" s="54"/>
      <c r="S98" s="70">
        <v>46241</v>
      </c>
      <c r="T98" s="54" t="s">
        <v>69</v>
      </c>
      <c r="U98" s="54"/>
      <c r="V98" s="54">
        <v>1</v>
      </c>
      <c r="W98" s="54"/>
      <c r="X98" s="54" t="s">
        <v>71</v>
      </c>
      <c r="Y98" s="54"/>
      <c r="Z98" s="54"/>
      <c r="AA98" s="54" t="s">
        <v>72</v>
      </c>
      <c r="AB98" s="54"/>
    </row>
    <row r="99" spans="1:28" x14ac:dyDescent="0.3">
      <c r="A99" s="54">
        <v>98</v>
      </c>
      <c r="B99" s="54" t="s">
        <v>485</v>
      </c>
      <c r="C99" s="54" t="s">
        <v>104</v>
      </c>
      <c r="D99" s="54" t="s">
        <v>464</v>
      </c>
      <c r="E99" s="54" t="s">
        <v>80</v>
      </c>
      <c r="F99" s="54" t="s">
        <v>465</v>
      </c>
      <c r="G99" s="54" t="s">
        <v>39</v>
      </c>
      <c r="H99" s="54">
        <v>0</v>
      </c>
      <c r="I99" s="54">
        <v>1</v>
      </c>
      <c r="J99" s="54">
        <v>1.5</v>
      </c>
      <c r="K99" s="54">
        <v>2.0299999999999998</v>
      </c>
      <c r="L99" s="54">
        <v>1.5</v>
      </c>
      <c r="M99" s="54">
        <v>2.0299999999999998</v>
      </c>
      <c r="N99" s="54" t="s">
        <v>69</v>
      </c>
      <c r="O99" s="54" t="s">
        <v>77</v>
      </c>
      <c r="P99" s="54">
        <v>135.33000000000001</v>
      </c>
      <c r="Q99" s="54">
        <v>135.33000000000001</v>
      </c>
      <c r="R99" s="54"/>
      <c r="S99" s="70">
        <v>46241</v>
      </c>
      <c r="T99" s="54" t="s">
        <v>97</v>
      </c>
      <c r="U99" s="54"/>
      <c r="V99" s="54">
        <v>1</v>
      </c>
      <c r="W99" s="54"/>
      <c r="X99" s="54" t="s">
        <v>71</v>
      </c>
      <c r="Y99" s="54"/>
      <c r="Z99" s="54"/>
      <c r="AA99" s="54" t="s">
        <v>72</v>
      </c>
      <c r="AB99" s="54" t="s">
        <v>466</v>
      </c>
    </row>
    <row r="100" spans="1:28" x14ac:dyDescent="0.3">
      <c r="A100" s="54">
        <v>99</v>
      </c>
      <c r="B100" s="54" t="s">
        <v>485</v>
      </c>
      <c r="C100" s="54" t="s">
        <v>104</v>
      </c>
      <c r="D100" s="54" t="s">
        <v>467</v>
      </c>
      <c r="E100" s="54" t="s">
        <v>80</v>
      </c>
      <c r="F100" s="54" t="s">
        <v>454</v>
      </c>
      <c r="G100" s="54" t="s">
        <v>37</v>
      </c>
      <c r="H100" s="54">
        <v>0</v>
      </c>
      <c r="I100" s="54">
        <v>1</v>
      </c>
      <c r="J100" s="54">
        <v>1</v>
      </c>
      <c r="K100" s="54">
        <v>1.67</v>
      </c>
      <c r="L100" s="54">
        <v>1</v>
      </c>
      <c r="M100" s="54">
        <v>1.67</v>
      </c>
      <c r="N100" s="54" t="s">
        <v>69</v>
      </c>
      <c r="O100" s="54" t="s">
        <v>82</v>
      </c>
      <c r="P100" s="54">
        <v>167</v>
      </c>
      <c r="Q100" s="54">
        <v>167</v>
      </c>
      <c r="R100" s="54"/>
      <c r="S100" s="70">
        <v>46241</v>
      </c>
      <c r="T100" s="54" t="s">
        <v>97</v>
      </c>
      <c r="U100" s="54"/>
      <c r="V100" s="54">
        <v>1</v>
      </c>
      <c r="W100" s="54"/>
      <c r="X100" s="54" t="s">
        <v>121</v>
      </c>
      <c r="Y100" s="54"/>
      <c r="Z100" s="54" t="s">
        <v>468</v>
      </c>
      <c r="AA100" s="54" t="s">
        <v>168</v>
      </c>
      <c r="AB100" s="54" t="s">
        <v>469</v>
      </c>
    </row>
    <row r="101" spans="1:28" x14ac:dyDescent="0.3">
      <c r="A101" s="54">
        <v>100</v>
      </c>
      <c r="B101" s="54" t="s">
        <v>485</v>
      </c>
      <c r="C101" s="54" t="s">
        <v>405</v>
      </c>
      <c r="D101" s="54" t="s">
        <v>470</v>
      </c>
      <c r="E101" s="54" t="s">
        <v>101</v>
      </c>
      <c r="F101" s="54" t="s">
        <v>471</v>
      </c>
      <c r="G101" s="54" t="s">
        <v>38</v>
      </c>
      <c r="H101" s="54">
        <v>2</v>
      </c>
      <c r="I101" s="54">
        <v>1</v>
      </c>
      <c r="J101" s="54">
        <v>4</v>
      </c>
      <c r="K101" s="54"/>
      <c r="L101" s="54">
        <v>4</v>
      </c>
      <c r="M101" s="54"/>
      <c r="N101" s="54" t="s">
        <v>69</v>
      </c>
      <c r="O101" s="54" t="s">
        <v>82</v>
      </c>
      <c r="P101" s="54"/>
      <c r="Q101" s="54"/>
      <c r="R101" s="54"/>
      <c r="S101" s="70">
        <v>46242</v>
      </c>
      <c r="T101" s="54" t="s">
        <v>69</v>
      </c>
      <c r="U101" s="54"/>
      <c r="V101" s="54"/>
      <c r="W101" s="54"/>
      <c r="X101" s="54" t="s">
        <v>181</v>
      </c>
      <c r="Y101" s="54"/>
      <c r="Z101" s="54"/>
      <c r="AA101" s="54"/>
      <c r="AB101" s="54"/>
    </row>
    <row r="102" spans="1:28" x14ac:dyDescent="0.3">
      <c r="A102" s="54">
        <v>101</v>
      </c>
      <c r="B102" s="54" t="s">
        <v>485</v>
      </c>
      <c r="C102" s="54" t="s">
        <v>129</v>
      </c>
      <c r="D102" s="54" t="s">
        <v>472</v>
      </c>
      <c r="E102" s="54" t="s">
        <v>101</v>
      </c>
      <c r="F102" s="54" t="s">
        <v>473</v>
      </c>
      <c r="G102" s="54" t="s">
        <v>37</v>
      </c>
      <c r="H102" s="54">
        <v>2</v>
      </c>
      <c r="I102" s="54">
        <v>1</v>
      </c>
      <c r="J102" s="54">
        <v>0.5</v>
      </c>
      <c r="K102" s="54">
        <v>0.42</v>
      </c>
      <c r="L102" s="54">
        <v>0.5</v>
      </c>
      <c r="M102" s="54">
        <v>0.42</v>
      </c>
      <c r="N102" s="54" t="s">
        <v>107</v>
      </c>
      <c r="O102" s="54" t="s">
        <v>77</v>
      </c>
      <c r="P102" s="54">
        <v>84</v>
      </c>
      <c r="Q102" s="54">
        <v>84</v>
      </c>
      <c r="R102" s="54"/>
      <c r="S102" s="70">
        <v>46241</v>
      </c>
      <c r="T102" s="54" t="s">
        <v>107</v>
      </c>
      <c r="U102" s="54"/>
      <c r="V102" s="54">
        <v>1</v>
      </c>
      <c r="W102" s="54"/>
      <c r="X102" s="54" t="s">
        <v>121</v>
      </c>
      <c r="Y102" s="54"/>
      <c r="Z102" s="54"/>
      <c r="AA102" s="54"/>
      <c r="AB102" s="54" t="s">
        <v>474</v>
      </c>
    </row>
    <row r="103" spans="1:28" x14ac:dyDescent="0.3">
      <c r="A103" s="54">
        <v>102</v>
      </c>
      <c r="B103" s="54" t="s">
        <v>485</v>
      </c>
      <c r="C103" s="54" t="s">
        <v>104</v>
      </c>
      <c r="D103" s="54" t="s">
        <v>475</v>
      </c>
      <c r="E103" s="54" t="s">
        <v>125</v>
      </c>
      <c r="F103" s="54" t="s">
        <v>476</v>
      </c>
      <c r="G103" s="54" t="s">
        <v>39</v>
      </c>
      <c r="H103" s="54"/>
      <c r="I103" s="54">
        <v>1</v>
      </c>
      <c r="J103" s="54">
        <v>0.25</v>
      </c>
      <c r="K103" s="54">
        <v>0.12</v>
      </c>
      <c r="L103" s="54">
        <v>0.25</v>
      </c>
      <c r="M103" s="54">
        <v>0.12</v>
      </c>
      <c r="N103" s="54" t="s">
        <v>97</v>
      </c>
      <c r="O103" s="54" t="s">
        <v>257</v>
      </c>
      <c r="P103" s="54">
        <v>48</v>
      </c>
      <c r="Q103" s="54">
        <v>48</v>
      </c>
      <c r="R103" s="54"/>
      <c r="S103" s="70">
        <v>46242</v>
      </c>
      <c r="T103" s="54" t="s">
        <v>97</v>
      </c>
      <c r="U103" s="54"/>
      <c r="V103" s="54">
        <v>1</v>
      </c>
      <c r="W103" s="54"/>
      <c r="X103" s="54" t="s">
        <v>71</v>
      </c>
      <c r="Y103" s="54"/>
      <c r="Z103" s="54"/>
      <c r="AA103" s="54"/>
      <c r="AB103" s="54" t="s">
        <v>477</v>
      </c>
    </row>
    <row r="104" spans="1:28" x14ac:dyDescent="0.3">
      <c r="A104" s="54">
        <v>103</v>
      </c>
      <c r="B104" s="54" t="s">
        <v>485</v>
      </c>
      <c r="C104" s="54" t="s">
        <v>129</v>
      </c>
      <c r="D104" s="54" t="s">
        <v>478</v>
      </c>
      <c r="E104" s="54" t="s">
        <v>101</v>
      </c>
      <c r="F104" s="54" t="s">
        <v>479</v>
      </c>
      <c r="G104" s="54" t="s">
        <v>37</v>
      </c>
      <c r="H104" s="54">
        <v>1</v>
      </c>
      <c r="I104" s="54">
        <v>1</v>
      </c>
      <c r="J104" s="54">
        <v>1</v>
      </c>
      <c r="K104" s="54">
        <v>0.77</v>
      </c>
      <c r="L104" s="54">
        <v>0.23</v>
      </c>
      <c r="M104" s="54">
        <v>0.77</v>
      </c>
      <c r="N104" s="54" t="s">
        <v>69</v>
      </c>
      <c r="O104" s="54" t="s">
        <v>77</v>
      </c>
      <c r="P104" s="54">
        <v>77</v>
      </c>
      <c r="Q104" s="54">
        <v>334.78</v>
      </c>
      <c r="R104" s="54"/>
      <c r="S104" s="70">
        <v>46242</v>
      </c>
      <c r="T104" s="54" t="s">
        <v>107</v>
      </c>
      <c r="U104" s="54"/>
      <c r="V104" s="54">
        <v>1</v>
      </c>
      <c r="W104" s="54"/>
      <c r="X104" s="54" t="s">
        <v>121</v>
      </c>
      <c r="Y104" s="54"/>
      <c r="Z104" s="54"/>
      <c r="AA104" s="54"/>
      <c r="AB104" s="54" t="s">
        <v>480</v>
      </c>
    </row>
    <row r="105" spans="1:28" x14ac:dyDescent="0.3">
      <c r="A105" s="54">
        <v>104</v>
      </c>
      <c r="B105" s="54" t="s">
        <v>485</v>
      </c>
      <c r="C105" s="54" t="s">
        <v>90</v>
      </c>
      <c r="D105" s="54" t="s">
        <v>481</v>
      </c>
      <c r="E105" s="54" t="s">
        <v>112</v>
      </c>
      <c r="F105" s="54" t="s">
        <v>482</v>
      </c>
      <c r="G105" s="54" t="s">
        <v>37</v>
      </c>
      <c r="H105" s="54"/>
      <c r="I105" s="54">
        <v>1</v>
      </c>
      <c r="J105" s="54">
        <v>1.5</v>
      </c>
      <c r="K105" s="54">
        <v>1.68</v>
      </c>
      <c r="L105" s="54">
        <v>1.5</v>
      </c>
      <c r="M105" s="54">
        <v>1.68</v>
      </c>
      <c r="N105" s="54" t="s">
        <v>97</v>
      </c>
      <c r="O105" s="54" t="s">
        <v>77</v>
      </c>
      <c r="P105" s="54">
        <v>112</v>
      </c>
      <c r="Q105" s="54">
        <v>112</v>
      </c>
      <c r="R105" s="54"/>
      <c r="S105" s="70">
        <v>46241</v>
      </c>
      <c r="T105" s="54" t="s">
        <v>97</v>
      </c>
      <c r="U105" s="54"/>
      <c r="V105" s="54">
        <v>1</v>
      </c>
      <c r="W105" s="54"/>
      <c r="X105" s="54" t="s">
        <v>121</v>
      </c>
      <c r="Y105" s="54"/>
      <c r="Z105" s="54" t="s">
        <v>483</v>
      </c>
      <c r="AA105" s="54"/>
      <c r="AB105" s="54" t="s">
        <v>484</v>
      </c>
    </row>
    <row r="106" spans="1:28" x14ac:dyDescent="0.3">
      <c r="A106" s="54">
        <v>105</v>
      </c>
      <c r="B106" s="54" t="s">
        <v>485</v>
      </c>
      <c r="C106" s="54" t="s">
        <v>90</v>
      </c>
      <c r="D106" s="54" t="s">
        <v>266</v>
      </c>
      <c r="E106" s="54" t="s">
        <v>75</v>
      </c>
      <c r="F106" s="54" t="s">
        <v>267</v>
      </c>
      <c r="G106" s="54" t="s">
        <v>40</v>
      </c>
      <c r="H106" s="54">
        <v>3</v>
      </c>
      <c r="I106" s="54">
        <v>1</v>
      </c>
      <c r="J106" s="54">
        <v>0.75</v>
      </c>
      <c r="K106" s="54">
        <v>0.85</v>
      </c>
      <c r="L106" s="54">
        <v>0.75</v>
      </c>
      <c r="M106" s="54">
        <v>0.85</v>
      </c>
      <c r="N106" s="54" t="s">
        <v>69</v>
      </c>
      <c r="O106" s="54" t="s">
        <v>77</v>
      </c>
      <c r="P106" s="54">
        <v>113.33</v>
      </c>
      <c r="Q106" s="54">
        <v>113.33</v>
      </c>
      <c r="R106" s="54"/>
      <c r="S106" s="70">
        <v>46237</v>
      </c>
      <c r="T106" s="54" t="s">
        <v>97</v>
      </c>
      <c r="U106" s="54"/>
      <c r="V106" s="54">
        <v>1</v>
      </c>
      <c r="W106" s="54"/>
      <c r="X106" s="54" t="s">
        <v>114</v>
      </c>
      <c r="Y106" s="54"/>
      <c r="Z106" s="54" t="s">
        <v>268</v>
      </c>
      <c r="AA106" s="54"/>
      <c r="AB106" s="54" t="s">
        <v>269</v>
      </c>
    </row>
    <row r="107" spans="1:28" x14ac:dyDescent="0.3">
      <c r="A107" s="54">
        <v>106</v>
      </c>
      <c r="B107" s="54" t="s">
        <v>485</v>
      </c>
      <c r="C107" s="54" t="s">
        <v>178</v>
      </c>
      <c r="D107" s="54" t="s">
        <v>343</v>
      </c>
      <c r="E107" s="54" t="s">
        <v>75</v>
      </c>
      <c r="F107" s="54" t="s">
        <v>344</v>
      </c>
      <c r="G107" s="54" t="s">
        <v>40</v>
      </c>
      <c r="H107" s="54">
        <v>4</v>
      </c>
      <c r="I107" s="54">
        <v>1</v>
      </c>
      <c r="J107" s="54">
        <v>1</v>
      </c>
      <c r="K107" s="54">
        <v>18.79</v>
      </c>
      <c r="L107" s="54">
        <v>1</v>
      </c>
      <c r="M107" s="54">
        <v>18.79</v>
      </c>
      <c r="N107" s="54" t="s">
        <v>69</v>
      </c>
      <c r="O107" s="54" t="s">
        <v>77</v>
      </c>
      <c r="P107" s="54">
        <v>1879</v>
      </c>
      <c r="Q107" s="54">
        <v>1879</v>
      </c>
      <c r="R107" s="54"/>
      <c r="S107" s="70">
        <v>46241</v>
      </c>
      <c r="T107" s="54" t="s">
        <v>107</v>
      </c>
      <c r="U107" s="54"/>
      <c r="V107" s="54">
        <v>1</v>
      </c>
      <c r="W107" s="54"/>
      <c r="X107" s="54" t="s">
        <v>114</v>
      </c>
      <c r="Y107" s="54"/>
      <c r="Z107" s="54" t="s">
        <v>345</v>
      </c>
      <c r="AA107" s="54" t="s">
        <v>346</v>
      </c>
      <c r="AB107" s="54" t="s">
        <v>347</v>
      </c>
    </row>
    <row r="108" spans="1:28" x14ac:dyDescent="0.3">
      <c r="A108" s="54">
        <v>107</v>
      </c>
      <c r="B108" s="54" t="s">
        <v>485</v>
      </c>
      <c r="C108" s="54" t="s">
        <v>129</v>
      </c>
      <c r="D108" s="54" t="s">
        <v>130</v>
      </c>
      <c r="E108" s="54" t="s">
        <v>75</v>
      </c>
      <c r="F108" s="54" t="s">
        <v>131</v>
      </c>
      <c r="G108" s="54" t="s">
        <v>37</v>
      </c>
      <c r="H108" s="54">
        <v>12</v>
      </c>
      <c r="I108" s="54">
        <v>1</v>
      </c>
      <c r="J108" s="54">
        <v>1</v>
      </c>
      <c r="K108" s="54">
        <v>0.78</v>
      </c>
      <c r="L108" s="54">
        <v>0.22</v>
      </c>
      <c r="M108" s="54"/>
      <c r="N108" s="54" t="s">
        <v>69</v>
      </c>
      <c r="O108" s="54" t="s">
        <v>77</v>
      </c>
      <c r="P108" s="54">
        <v>78</v>
      </c>
      <c r="Q108" s="54"/>
      <c r="R108" s="70">
        <v>46231</v>
      </c>
      <c r="S108" s="70">
        <v>46238</v>
      </c>
      <c r="T108" s="54" t="s">
        <v>69</v>
      </c>
      <c r="U108" s="54"/>
      <c r="V108" s="54"/>
      <c r="W108" s="54"/>
      <c r="X108" s="54" t="s">
        <v>121</v>
      </c>
      <c r="Y108" s="54"/>
      <c r="Z108" s="54"/>
      <c r="AA108" s="54" t="s">
        <v>132</v>
      </c>
      <c r="AB108" s="54"/>
    </row>
    <row r="109" spans="1:28" x14ac:dyDescent="0.3">
      <c r="A109" s="54">
        <v>108</v>
      </c>
      <c r="B109" s="54" t="s">
        <v>485</v>
      </c>
      <c r="C109" s="54" t="s">
        <v>164</v>
      </c>
      <c r="D109" s="54" t="s">
        <v>165</v>
      </c>
      <c r="E109" s="54" t="s">
        <v>75</v>
      </c>
      <c r="F109" s="54" t="s">
        <v>166</v>
      </c>
      <c r="G109" s="54" t="s">
        <v>37</v>
      </c>
      <c r="H109" s="54">
        <v>31</v>
      </c>
      <c r="I109" s="54">
        <v>1</v>
      </c>
      <c r="J109" s="54">
        <v>3</v>
      </c>
      <c r="K109" s="54">
        <v>1.46</v>
      </c>
      <c r="L109" s="54">
        <v>3</v>
      </c>
      <c r="M109" s="54">
        <v>1.46</v>
      </c>
      <c r="N109" s="54" t="s">
        <v>69</v>
      </c>
      <c r="O109" s="54" t="s">
        <v>82</v>
      </c>
      <c r="P109" s="54">
        <v>48.67</v>
      </c>
      <c r="Q109" s="54">
        <v>48.67</v>
      </c>
      <c r="R109" s="70">
        <v>46212</v>
      </c>
      <c r="S109" s="70">
        <v>46242</v>
      </c>
      <c r="T109" s="54" t="s">
        <v>107</v>
      </c>
      <c r="U109" s="54"/>
      <c r="V109" s="54"/>
      <c r="W109" s="54"/>
      <c r="X109" s="54" t="s">
        <v>121</v>
      </c>
      <c r="Y109" s="54"/>
      <c r="Z109" s="54" t="s">
        <v>167</v>
      </c>
      <c r="AA109" s="54" t="s">
        <v>168</v>
      </c>
      <c r="AB109" s="54" t="s">
        <v>169</v>
      </c>
    </row>
    <row r="110" spans="1:28" x14ac:dyDescent="0.3">
      <c r="A110" s="54">
        <v>109</v>
      </c>
      <c r="B110" s="54" t="s">
        <v>485</v>
      </c>
      <c r="C110" s="54" t="s">
        <v>90</v>
      </c>
      <c r="D110" s="54" t="s">
        <v>170</v>
      </c>
      <c r="E110" s="54" t="s">
        <v>75</v>
      </c>
      <c r="F110" s="54" t="s">
        <v>171</v>
      </c>
      <c r="G110" s="54" t="s">
        <v>37</v>
      </c>
      <c r="H110" s="54">
        <v>59</v>
      </c>
      <c r="I110" s="54">
        <v>1</v>
      </c>
      <c r="J110" s="54">
        <v>3</v>
      </c>
      <c r="K110" s="54">
        <v>2.4700000000000002</v>
      </c>
      <c r="L110" s="54">
        <v>0.53</v>
      </c>
      <c r="M110" s="54"/>
      <c r="N110" s="54" t="s">
        <v>69</v>
      </c>
      <c r="O110" s="54" t="s">
        <v>82</v>
      </c>
      <c r="P110" s="54">
        <v>82.33</v>
      </c>
      <c r="Q110" s="54"/>
      <c r="R110" s="70">
        <v>46184</v>
      </c>
      <c r="S110" s="70">
        <v>46238</v>
      </c>
      <c r="T110" s="54" t="s">
        <v>69</v>
      </c>
      <c r="U110" s="54"/>
      <c r="V110" s="54"/>
      <c r="W110" s="54"/>
      <c r="X110" s="54" t="s">
        <v>121</v>
      </c>
      <c r="Y110" s="54"/>
      <c r="Z110" s="54"/>
      <c r="AA110" s="54" t="s">
        <v>132</v>
      </c>
      <c r="AB110" s="54" t="s">
        <v>172</v>
      </c>
    </row>
    <row r="111" spans="1:28" x14ac:dyDescent="0.3">
      <c r="A111" s="54">
        <v>110</v>
      </c>
      <c r="B111" s="54" t="s">
        <v>485</v>
      </c>
      <c r="C111" s="54" t="s">
        <v>129</v>
      </c>
      <c r="D111" s="54" t="s">
        <v>255</v>
      </c>
      <c r="E111" s="54" t="s">
        <v>143</v>
      </c>
      <c r="F111" s="54" t="s">
        <v>256</v>
      </c>
      <c r="G111" s="54" t="s">
        <v>37</v>
      </c>
      <c r="H111" s="54">
        <v>3</v>
      </c>
      <c r="I111" s="54">
        <v>1</v>
      </c>
      <c r="J111" s="54">
        <v>3.5</v>
      </c>
      <c r="K111" s="54">
        <v>3.88</v>
      </c>
      <c r="L111" s="54">
        <v>1</v>
      </c>
      <c r="M111" s="54">
        <v>3.88</v>
      </c>
      <c r="N111" s="54" t="s">
        <v>69</v>
      </c>
      <c r="O111" s="54" t="s">
        <v>257</v>
      </c>
      <c r="P111" s="54">
        <v>110.86</v>
      </c>
      <c r="Q111" s="54">
        <v>388</v>
      </c>
      <c r="R111" s="54"/>
      <c r="S111" s="70">
        <v>46237</v>
      </c>
      <c r="T111" s="54" t="s">
        <v>97</v>
      </c>
      <c r="U111" s="54"/>
      <c r="V111" s="54"/>
      <c r="W111" s="54"/>
      <c r="X111" s="54" t="s">
        <v>121</v>
      </c>
      <c r="Y111" s="54"/>
      <c r="Z111" s="54" t="s">
        <v>258</v>
      </c>
      <c r="AA111" s="54"/>
      <c r="AB111" s="54" t="s">
        <v>259</v>
      </c>
    </row>
    <row r="112" spans="1:28" x14ac:dyDescent="0.3">
      <c r="A112" s="54">
        <v>111</v>
      </c>
      <c r="B112" s="54" t="s">
        <v>485</v>
      </c>
      <c r="C112" s="54" t="s">
        <v>90</v>
      </c>
      <c r="D112" s="54" t="s">
        <v>297</v>
      </c>
      <c r="E112" s="54" t="s">
        <v>75</v>
      </c>
      <c r="F112" s="54" t="s">
        <v>298</v>
      </c>
      <c r="G112" s="54" t="s">
        <v>37</v>
      </c>
      <c r="H112" s="54">
        <v>2</v>
      </c>
      <c r="I112" s="54">
        <v>1</v>
      </c>
      <c r="J112" s="54">
        <v>1</v>
      </c>
      <c r="K112" s="54">
        <v>0.73</v>
      </c>
      <c r="L112" s="54">
        <v>1</v>
      </c>
      <c r="M112" s="54">
        <v>0.73</v>
      </c>
      <c r="N112" s="54" t="s">
        <v>69</v>
      </c>
      <c r="O112" s="54" t="s">
        <v>77</v>
      </c>
      <c r="P112" s="54">
        <v>73</v>
      </c>
      <c r="Q112" s="54">
        <v>73</v>
      </c>
      <c r="R112" s="54"/>
      <c r="S112" s="70">
        <v>46238</v>
      </c>
      <c r="T112" s="54" t="s">
        <v>97</v>
      </c>
      <c r="U112" s="54"/>
      <c r="V112" s="54"/>
      <c r="W112" s="54"/>
      <c r="X112" s="54" t="s">
        <v>121</v>
      </c>
      <c r="Y112" s="54"/>
      <c r="Z112" s="54"/>
      <c r="AA112" s="54"/>
      <c r="AB112" s="54" t="s">
        <v>299</v>
      </c>
    </row>
    <row r="113" spans="1:28" x14ac:dyDescent="0.3">
      <c r="A113" s="54">
        <v>112</v>
      </c>
      <c r="B113" s="54" t="s">
        <v>485</v>
      </c>
      <c r="C113" s="54" t="s">
        <v>178</v>
      </c>
      <c r="D113" s="54" t="s">
        <v>378</v>
      </c>
      <c r="E113" s="54" t="s">
        <v>75</v>
      </c>
      <c r="F113" s="54" t="s">
        <v>379</v>
      </c>
      <c r="G113" s="54" t="s">
        <v>38</v>
      </c>
      <c r="H113" s="54">
        <v>4</v>
      </c>
      <c r="I113" s="54">
        <v>1</v>
      </c>
      <c r="J113" s="54">
        <v>0.75</v>
      </c>
      <c r="K113" s="54">
        <v>1</v>
      </c>
      <c r="L113" s="54">
        <v>0.75</v>
      </c>
      <c r="M113" s="54">
        <v>1.01</v>
      </c>
      <c r="N113" s="54" t="s">
        <v>69</v>
      </c>
      <c r="O113" s="54" t="s">
        <v>82</v>
      </c>
      <c r="P113" s="54">
        <v>133.33000000000001</v>
      </c>
      <c r="Q113" s="54">
        <v>134.66999999999999</v>
      </c>
      <c r="R113" s="54"/>
      <c r="S113" s="70">
        <v>46241</v>
      </c>
      <c r="T113" s="54" t="s">
        <v>107</v>
      </c>
      <c r="U113" s="54"/>
      <c r="V113" s="54">
        <v>1</v>
      </c>
      <c r="W113" s="54"/>
      <c r="X113" s="54" t="s">
        <v>181</v>
      </c>
      <c r="Y113" s="54"/>
      <c r="Z113" s="54" t="s">
        <v>380</v>
      </c>
      <c r="AA113" s="54" t="s">
        <v>364</v>
      </c>
      <c r="AB113" s="54" t="s">
        <v>381</v>
      </c>
    </row>
    <row r="114" spans="1:28" x14ac:dyDescent="0.3">
      <c r="A114" s="54">
        <v>113</v>
      </c>
      <c r="B114" s="54" t="s">
        <v>875</v>
      </c>
      <c r="C114" s="54" t="s">
        <v>65</v>
      </c>
      <c r="D114" s="54" t="s">
        <v>849</v>
      </c>
      <c r="E114" s="54" t="s">
        <v>75</v>
      </c>
      <c r="F114" s="54" t="s">
        <v>850</v>
      </c>
      <c r="G114" s="54" t="s">
        <v>746</v>
      </c>
      <c r="H114" s="54">
        <v>5</v>
      </c>
      <c r="I114" s="54">
        <v>1</v>
      </c>
      <c r="J114" s="54">
        <v>2</v>
      </c>
      <c r="K114" s="54">
        <v>4</v>
      </c>
      <c r="L114" s="54">
        <v>2</v>
      </c>
      <c r="M114" s="54">
        <v>4</v>
      </c>
      <c r="N114" s="54" t="s">
        <v>69</v>
      </c>
      <c r="O114" s="54" t="s">
        <v>77</v>
      </c>
      <c r="P114" s="54">
        <v>200</v>
      </c>
      <c r="Q114" s="54">
        <v>200</v>
      </c>
      <c r="R114" s="54"/>
      <c r="S114" s="70">
        <v>46238</v>
      </c>
      <c r="T114" s="54" t="s">
        <v>97</v>
      </c>
      <c r="U114" s="54"/>
      <c r="V114" s="54">
        <v>1</v>
      </c>
      <c r="W114" s="54"/>
      <c r="X114" s="54" t="s">
        <v>762</v>
      </c>
      <c r="Y114" s="54"/>
      <c r="Z114" s="54"/>
      <c r="AA114" s="54"/>
      <c r="AB114" s="54" t="s">
        <v>851</v>
      </c>
    </row>
    <row r="115" spans="1:28" x14ac:dyDescent="0.3">
      <c r="A115" s="54">
        <v>114</v>
      </c>
      <c r="B115" s="54" t="s">
        <v>875</v>
      </c>
      <c r="C115" s="54" t="s">
        <v>65</v>
      </c>
      <c r="D115" s="54" t="s">
        <v>872</v>
      </c>
      <c r="E115" s="54" t="s">
        <v>75</v>
      </c>
      <c r="F115" s="54" t="s">
        <v>873</v>
      </c>
      <c r="G115" s="54" t="s">
        <v>747</v>
      </c>
      <c r="H115" s="54">
        <v>1</v>
      </c>
      <c r="I115" s="54">
        <v>1</v>
      </c>
      <c r="J115" s="54">
        <v>2</v>
      </c>
      <c r="K115" s="54">
        <v>1.9</v>
      </c>
      <c r="L115" s="54">
        <v>2</v>
      </c>
      <c r="M115" s="54">
        <v>1.9</v>
      </c>
      <c r="N115" s="54" t="s">
        <v>69</v>
      </c>
      <c r="O115" s="54" t="s">
        <v>77</v>
      </c>
      <c r="P115" s="54">
        <v>95</v>
      </c>
      <c r="Q115" s="54">
        <v>95</v>
      </c>
      <c r="R115" s="54"/>
      <c r="S115" s="70">
        <v>46241</v>
      </c>
      <c r="T115" s="54" t="s">
        <v>107</v>
      </c>
      <c r="U115" s="54"/>
      <c r="V115" s="54">
        <v>1</v>
      </c>
      <c r="W115" s="54"/>
      <c r="X115" s="54" t="s">
        <v>750</v>
      </c>
      <c r="Y115" s="54"/>
      <c r="Z115" s="54"/>
      <c r="AA115" s="54"/>
      <c r="AB115" s="54" t="s">
        <v>874</v>
      </c>
    </row>
    <row r="116" spans="1:28" x14ac:dyDescent="0.3">
      <c r="A116" s="54">
        <v>115</v>
      </c>
      <c r="B116" s="54" t="s">
        <v>875</v>
      </c>
      <c r="C116" s="54" t="s">
        <v>65</v>
      </c>
      <c r="D116" s="54" t="s">
        <v>748</v>
      </c>
      <c r="E116" s="54" t="s">
        <v>101</v>
      </c>
      <c r="F116" s="54" t="s">
        <v>749</v>
      </c>
      <c r="G116" s="54" t="s">
        <v>747</v>
      </c>
      <c r="H116" s="54">
        <v>7</v>
      </c>
      <c r="I116" s="54">
        <v>1</v>
      </c>
      <c r="J116" s="54">
        <v>2</v>
      </c>
      <c r="K116" s="54">
        <v>2.64</v>
      </c>
      <c r="L116" s="54">
        <v>2</v>
      </c>
      <c r="M116" s="54">
        <v>2.64</v>
      </c>
      <c r="N116" s="54" t="s">
        <v>161</v>
      </c>
      <c r="O116" s="54" t="s">
        <v>82</v>
      </c>
      <c r="P116" s="54">
        <v>132</v>
      </c>
      <c r="Q116" s="54">
        <v>132</v>
      </c>
      <c r="R116" s="70">
        <v>46235</v>
      </c>
      <c r="S116" s="70">
        <v>46238</v>
      </c>
      <c r="T116" s="54" t="s">
        <v>107</v>
      </c>
      <c r="U116" s="54"/>
      <c r="V116" s="54"/>
      <c r="W116" s="54"/>
      <c r="X116" s="54" t="s">
        <v>750</v>
      </c>
      <c r="Y116" s="54"/>
      <c r="Z116" s="54" t="s">
        <v>751</v>
      </c>
      <c r="AA116" s="54"/>
      <c r="AB116" s="54" t="s">
        <v>752</v>
      </c>
    </row>
    <row r="117" spans="1:28" x14ac:dyDescent="0.3">
      <c r="A117" s="54">
        <v>116</v>
      </c>
      <c r="B117" s="54" t="s">
        <v>875</v>
      </c>
      <c r="C117" s="54" t="s">
        <v>65</v>
      </c>
      <c r="D117" s="54" t="s">
        <v>753</v>
      </c>
      <c r="E117" s="54" t="s">
        <v>101</v>
      </c>
      <c r="F117" s="54" t="s">
        <v>754</v>
      </c>
      <c r="G117" s="54" t="s">
        <v>747</v>
      </c>
      <c r="H117" s="54">
        <v>7</v>
      </c>
      <c r="I117" s="54">
        <v>1</v>
      </c>
      <c r="J117" s="54">
        <v>0.5</v>
      </c>
      <c r="K117" s="54">
        <v>1.55</v>
      </c>
      <c r="L117" s="54">
        <v>2</v>
      </c>
      <c r="M117" s="54">
        <v>1.55</v>
      </c>
      <c r="N117" s="54" t="s">
        <v>161</v>
      </c>
      <c r="O117" s="54" t="s">
        <v>82</v>
      </c>
      <c r="P117" s="54">
        <v>310</v>
      </c>
      <c r="Q117" s="54">
        <v>77.5</v>
      </c>
      <c r="R117" s="70">
        <v>46235</v>
      </c>
      <c r="S117" s="70">
        <v>46237</v>
      </c>
      <c r="T117" s="54" t="s">
        <v>107</v>
      </c>
      <c r="U117" s="54"/>
      <c r="V117" s="54"/>
      <c r="W117" s="54"/>
      <c r="X117" s="54" t="s">
        <v>750</v>
      </c>
      <c r="Y117" s="54"/>
      <c r="Z117" s="54" t="s">
        <v>755</v>
      </c>
      <c r="AA117" s="54"/>
      <c r="AB117" s="54" t="s">
        <v>756</v>
      </c>
    </row>
    <row r="118" spans="1:28" x14ac:dyDescent="0.3">
      <c r="A118" s="54">
        <v>117</v>
      </c>
      <c r="B118" s="54" t="s">
        <v>875</v>
      </c>
      <c r="C118" s="54" t="s">
        <v>65</v>
      </c>
      <c r="D118" s="54" t="s">
        <v>757</v>
      </c>
      <c r="E118" s="54" t="s">
        <v>101</v>
      </c>
      <c r="F118" s="54" t="s">
        <v>758</v>
      </c>
      <c r="G118" s="54" t="s">
        <v>747</v>
      </c>
      <c r="H118" s="54">
        <v>7</v>
      </c>
      <c r="I118" s="54">
        <v>1</v>
      </c>
      <c r="J118" s="54">
        <v>2</v>
      </c>
      <c r="K118" s="54">
        <v>2.52</v>
      </c>
      <c r="L118" s="54">
        <v>2</v>
      </c>
      <c r="M118" s="54">
        <v>2.52</v>
      </c>
      <c r="N118" s="54" t="s">
        <v>161</v>
      </c>
      <c r="O118" s="54" t="s">
        <v>82</v>
      </c>
      <c r="P118" s="54">
        <v>126</v>
      </c>
      <c r="Q118" s="54">
        <v>126</v>
      </c>
      <c r="R118" s="70">
        <v>46235</v>
      </c>
      <c r="S118" s="70">
        <v>46238</v>
      </c>
      <c r="T118" s="54" t="s">
        <v>107</v>
      </c>
      <c r="U118" s="54"/>
      <c r="V118" s="54"/>
      <c r="W118" s="54"/>
      <c r="X118" s="54" t="s">
        <v>750</v>
      </c>
      <c r="Y118" s="54"/>
      <c r="Z118" s="54"/>
      <c r="AA118" s="54"/>
      <c r="AB118" s="54" t="s">
        <v>759</v>
      </c>
    </row>
    <row r="119" spans="1:28" x14ac:dyDescent="0.3">
      <c r="A119" s="54">
        <v>118</v>
      </c>
      <c r="B119" s="54" t="s">
        <v>875</v>
      </c>
      <c r="C119" s="54" t="s">
        <v>65</v>
      </c>
      <c r="D119" s="54" t="s">
        <v>760</v>
      </c>
      <c r="E119" s="54" t="s">
        <v>101</v>
      </c>
      <c r="F119" s="54" t="s">
        <v>761</v>
      </c>
      <c r="G119" s="54" t="s">
        <v>746</v>
      </c>
      <c r="H119" s="54">
        <v>7</v>
      </c>
      <c r="I119" s="54">
        <v>1</v>
      </c>
      <c r="J119" s="54">
        <v>4</v>
      </c>
      <c r="K119" s="54">
        <v>4.43</v>
      </c>
      <c r="L119" s="54">
        <v>3</v>
      </c>
      <c r="M119" s="54">
        <v>4.43</v>
      </c>
      <c r="N119" s="54" t="s">
        <v>161</v>
      </c>
      <c r="O119" s="54" t="s">
        <v>82</v>
      </c>
      <c r="P119" s="54">
        <v>110.75</v>
      </c>
      <c r="Q119" s="54">
        <v>147.66999999999999</v>
      </c>
      <c r="R119" s="70">
        <v>46235</v>
      </c>
      <c r="S119" s="70">
        <v>46239</v>
      </c>
      <c r="T119" s="54" t="s">
        <v>107</v>
      </c>
      <c r="U119" s="54"/>
      <c r="V119" s="54"/>
      <c r="W119" s="54"/>
      <c r="X119" s="54" t="s">
        <v>762</v>
      </c>
      <c r="Y119" s="54"/>
      <c r="Z119" s="54" t="s">
        <v>763</v>
      </c>
      <c r="AA119" s="54"/>
      <c r="AB119" s="54" t="s">
        <v>764</v>
      </c>
    </row>
    <row r="120" spans="1:28" x14ac:dyDescent="0.3">
      <c r="A120" s="54">
        <v>119</v>
      </c>
      <c r="B120" s="54" t="s">
        <v>875</v>
      </c>
      <c r="C120" s="54" t="s">
        <v>65</v>
      </c>
      <c r="D120" s="54" t="s">
        <v>765</v>
      </c>
      <c r="E120" s="54" t="s">
        <v>101</v>
      </c>
      <c r="F120" s="54" t="s">
        <v>766</v>
      </c>
      <c r="G120" s="54" t="s">
        <v>747</v>
      </c>
      <c r="H120" s="54">
        <v>7</v>
      </c>
      <c r="I120" s="54">
        <v>1</v>
      </c>
      <c r="J120" s="54">
        <v>2</v>
      </c>
      <c r="K120" s="54">
        <v>3.27</v>
      </c>
      <c r="L120" s="54">
        <v>2</v>
      </c>
      <c r="M120" s="54">
        <v>3.27</v>
      </c>
      <c r="N120" s="54" t="s">
        <v>161</v>
      </c>
      <c r="O120" s="54" t="s">
        <v>82</v>
      </c>
      <c r="P120" s="54">
        <v>163.5</v>
      </c>
      <c r="Q120" s="54">
        <v>163.5</v>
      </c>
      <c r="R120" s="70">
        <v>46235</v>
      </c>
      <c r="S120" s="70">
        <v>46237</v>
      </c>
      <c r="T120" s="54" t="s">
        <v>107</v>
      </c>
      <c r="U120" s="54"/>
      <c r="V120" s="54"/>
      <c r="W120" s="54"/>
      <c r="X120" s="54" t="s">
        <v>750</v>
      </c>
      <c r="Y120" s="54"/>
      <c r="Z120" s="54" t="s">
        <v>767</v>
      </c>
      <c r="AA120" s="54"/>
      <c r="AB120" s="54" t="s">
        <v>768</v>
      </c>
    </row>
    <row r="121" spans="1:28" x14ac:dyDescent="0.3">
      <c r="A121" s="54">
        <v>120</v>
      </c>
      <c r="B121" s="54" t="s">
        <v>875</v>
      </c>
      <c r="C121" s="54" t="s">
        <v>65</v>
      </c>
      <c r="D121" s="54" t="s">
        <v>769</v>
      </c>
      <c r="E121" s="54" t="s">
        <v>101</v>
      </c>
      <c r="F121" s="54" t="s">
        <v>770</v>
      </c>
      <c r="G121" s="54" t="s">
        <v>746</v>
      </c>
      <c r="H121" s="54">
        <v>7</v>
      </c>
      <c r="I121" s="54">
        <v>1</v>
      </c>
      <c r="J121" s="54">
        <v>2</v>
      </c>
      <c r="K121" s="54">
        <v>1.93</v>
      </c>
      <c r="L121" s="54">
        <v>2</v>
      </c>
      <c r="M121" s="54">
        <v>1.93</v>
      </c>
      <c r="N121" s="54" t="s">
        <v>161</v>
      </c>
      <c r="O121" s="54" t="s">
        <v>82</v>
      </c>
      <c r="P121" s="54">
        <v>96.5</v>
      </c>
      <c r="Q121" s="54">
        <v>96.5</v>
      </c>
      <c r="R121" s="70">
        <v>46235</v>
      </c>
      <c r="S121" s="70">
        <v>46237</v>
      </c>
      <c r="T121" s="54" t="s">
        <v>107</v>
      </c>
      <c r="U121" s="54"/>
      <c r="V121" s="54"/>
      <c r="W121" s="54"/>
      <c r="X121" s="54" t="s">
        <v>762</v>
      </c>
      <c r="Y121" s="54"/>
      <c r="Z121" s="54"/>
      <c r="AA121" s="54"/>
      <c r="AB121" s="54" t="s">
        <v>771</v>
      </c>
    </row>
    <row r="122" spans="1:28" x14ac:dyDescent="0.3">
      <c r="A122" s="54">
        <v>121</v>
      </c>
      <c r="B122" s="54" t="s">
        <v>875</v>
      </c>
      <c r="C122" s="54" t="s">
        <v>65</v>
      </c>
      <c r="D122" s="54" t="s">
        <v>772</v>
      </c>
      <c r="E122" s="54" t="s">
        <v>101</v>
      </c>
      <c r="F122" s="54" t="s">
        <v>773</v>
      </c>
      <c r="G122" s="54" t="s">
        <v>747</v>
      </c>
      <c r="H122" s="54">
        <v>0</v>
      </c>
      <c r="I122" s="54">
        <v>1</v>
      </c>
      <c r="J122" s="54">
        <v>1</v>
      </c>
      <c r="K122" s="54"/>
      <c r="L122" s="54">
        <v>1</v>
      </c>
      <c r="M122" s="54"/>
      <c r="N122" s="54" t="s">
        <v>161</v>
      </c>
      <c r="O122" s="54" t="s">
        <v>82</v>
      </c>
      <c r="P122" s="54"/>
      <c r="Q122" s="54"/>
      <c r="R122" s="70">
        <v>46235</v>
      </c>
      <c r="S122" s="54"/>
      <c r="T122" s="54" t="s">
        <v>518</v>
      </c>
      <c r="U122" s="54"/>
      <c r="V122" s="54"/>
      <c r="W122" s="54"/>
      <c r="X122" s="54" t="s">
        <v>750</v>
      </c>
      <c r="Y122" s="54"/>
      <c r="Z122" s="54"/>
      <c r="AA122" s="54"/>
      <c r="AB122" s="54"/>
    </row>
    <row r="123" spans="1:28" x14ac:dyDescent="0.3">
      <c r="A123" s="54">
        <v>122</v>
      </c>
      <c r="B123" s="54" t="s">
        <v>875</v>
      </c>
      <c r="C123" s="54" t="s">
        <v>65</v>
      </c>
      <c r="D123" s="54" t="s">
        <v>774</v>
      </c>
      <c r="E123" s="54" t="s">
        <v>101</v>
      </c>
      <c r="F123" s="54" t="s">
        <v>775</v>
      </c>
      <c r="G123" s="54" t="s">
        <v>746</v>
      </c>
      <c r="H123" s="54">
        <v>7</v>
      </c>
      <c r="I123" s="54">
        <v>1</v>
      </c>
      <c r="J123" s="54">
        <v>3</v>
      </c>
      <c r="K123" s="54">
        <v>2.31</v>
      </c>
      <c r="L123" s="54">
        <v>3</v>
      </c>
      <c r="M123" s="54">
        <v>2.31</v>
      </c>
      <c r="N123" s="54" t="s">
        <v>69</v>
      </c>
      <c r="O123" s="54" t="s">
        <v>82</v>
      </c>
      <c r="P123" s="54">
        <v>77</v>
      </c>
      <c r="Q123" s="54">
        <v>77</v>
      </c>
      <c r="R123" s="70">
        <v>46235</v>
      </c>
      <c r="S123" s="70">
        <v>46235</v>
      </c>
      <c r="T123" s="54" t="s">
        <v>107</v>
      </c>
      <c r="U123" s="54"/>
      <c r="V123" s="54"/>
      <c r="W123" s="54"/>
      <c r="X123" s="54" t="s">
        <v>762</v>
      </c>
      <c r="Y123" s="54"/>
      <c r="Z123" s="54"/>
      <c r="AA123" s="54"/>
      <c r="AB123" s="54" t="s">
        <v>776</v>
      </c>
    </row>
    <row r="124" spans="1:28" x14ac:dyDescent="0.3">
      <c r="A124" s="54">
        <v>123</v>
      </c>
      <c r="B124" s="54" t="s">
        <v>875</v>
      </c>
      <c r="C124" s="54" t="s">
        <v>65</v>
      </c>
      <c r="D124" s="54" t="s">
        <v>777</v>
      </c>
      <c r="E124" s="54" t="s">
        <v>101</v>
      </c>
      <c r="F124" s="54" t="s">
        <v>778</v>
      </c>
      <c r="G124" s="54" t="s">
        <v>746</v>
      </c>
      <c r="H124" s="54">
        <v>7</v>
      </c>
      <c r="I124" s="54">
        <v>1</v>
      </c>
      <c r="J124" s="54">
        <v>2</v>
      </c>
      <c r="K124" s="54">
        <v>5.6</v>
      </c>
      <c r="L124" s="54">
        <v>2</v>
      </c>
      <c r="M124" s="54">
        <v>5.6</v>
      </c>
      <c r="N124" s="54" t="s">
        <v>69</v>
      </c>
      <c r="O124" s="54" t="s">
        <v>82</v>
      </c>
      <c r="P124" s="54">
        <v>280</v>
      </c>
      <c r="Q124" s="54">
        <v>280</v>
      </c>
      <c r="R124" s="70">
        <v>46235</v>
      </c>
      <c r="S124" s="70">
        <v>46237</v>
      </c>
      <c r="T124" s="54" t="s">
        <v>107</v>
      </c>
      <c r="U124" s="54"/>
      <c r="V124" s="54"/>
      <c r="W124" s="54"/>
      <c r="X124" s="54" t="s">
        <v>762</v>
      </c>
      <c r="Y124" s="54"/>
      <c r="Z124" s="54" t="s">
        <v>779</v>
      </c>
      <c r="AA124" s="54"/>
      <c r="AB124" s="54" t="s">
        <v>780</v>
      </c>
    </row>
    <row r="125" spans="1:28" x14ac:dyDescent="0.3">
      <c r="A125" s="54">
        <v>124</v>
      </c>
      <c r="B125" s="54" t="s">
        <v>875</v>
      </c>
      <c r="C125" s="54" t="s">
        <v>65</v>
      </c>
      <c r="D125" s="54" t="s">
        <v>781</v>
      </c>
      <c r="E125" s="54" t="s">
        <v>101</v>
      </c>
      <c r="F125" s="54" t="s">
        <v>782</v>
      </c>
      <c r="G125" s="54" t="s">
        <v>746</v>
      </c>
      <c r="H125" s="54">
        <v>7</v>
      </c>
      <c r="I125" s="54">
        <v>1</v>
      </c>
      <c r="J125" s="54">
        <v>1</v>
      </c>
      <c r="K125" s="54">
        <v>0.91</v>
      </c>
      <c r="L125" s="54">
        <v>1</v>
      </c>
      <c r="M125" s="54">
        <v>0.91</v>
      </c>
      <c r="N125" s="54" t="s">
        <v>69</v>
      </c>
      <c r="O125" s="54" t="s">
        <v>82</v>
      </c>
      <c r="P125" s="54">
        <v>91</v>
      </c>
      <c r="Q125" s="54">
        <v>91</v>
      </c>
      <c r="R125" s="70">
        <v>46235</v>
      </c>
      <c r="S125" s="70">
        <v>46237</v>
      </c>
      <c r="T125" s="54" t="s">
        <v>107</v>
      </c>
      <c r="U125" s="54"/>
      <c r="V125" s="54"/>
      <c r="W125" s="54"/>
      <c r="X125" s="54" t="s">
        <v>762</v>
      </c>
      <c r="Y125" s="54"/>
      <c r="Z125" s="54"/>
      <c r="AA125" s="54"/>
      <c r="AB125" s="54" t="s">
        <v>783</v>
      </c>
    </row>
    <row r="126" spans="1:28" x14ac:dyDescent="0.3">
      <c r="A126" s="54">
        <v>125</v>
      </c>
      <c r="B126" s="54" t="s">
        <v>875</v>
      </c>
      <c r="C126" s="54" t="s">
        <v>65</v>
      </c>
      <c r="D126" s="54" t="s">
        <v>784</v>
      </c>
      <c r="E126" s="54" t="s">
        <v>101</v>
      </c>
      <c r="F126" s="54" t="s">
        <v>785</v>
      </c>
      <c r="G126" s="54" t="s">
        <v>746</v>
      </c>
      <c r="H126" s="54">
        <v>12</v>
      </c>
      <c r="I126" s="54">
        <v>1</v>
      </c>
      <c r="J126" s="54">
        <v>16</v>
      </c>
      <c r="K126" s="54"/>
      <c r="L126" s="54">
        <v>16</v>
      </c>
      <c r="M126" s="54"/>
      <c r="N126" s="54" t="s">
        <v>161</v>
      </c>
      <c r="O126" s="54" t="s">
        <v>82</v>
      </c>
      <c r="P126" s="54"/>
      <c r="Q126" s="54"/>
      <c r="R126" s="70">
        <v>46230</v>
      </c>
      <c r="S126" s="54"/>
      <c r="T126" s="54" t="s">
        <v>161</v>
      </c>
      <c r="U126" s="54"/>
      <c r="V126" s="54"/>
      <c r="W126" s="54"/>
      <c r="X126" s="54" t="s">
        <v>762</v>
      </c>
      <c r="Y126" s="54"/>
      <c r="Z126" s="54"/>
      <c r="AA126" s="54"/>
      <c r="AB126" s="54"/>
    </row>
    <row r="127" spans="1:28" x14ac:dyDescent="0.3">
      <c r="A127" s="54">
        <v>126</v>
      </c>
      <c r="B127" s="54" t="s">
        <v>875</v>
      </c>
      <c r="C127" s="54" t="s">
        <v>65</v>
      </c>
      <c r="D127" s="54" t="s">
        <v>786</v>
      </c>
      <c r="E127" s="54" t="s">
        <v>101</v>
      </c>
      <c r="F127" s="54" t="s">
        <v>787</v>
      </c>
      <c r="G127" s="54" t="s">
        <v>746</v>
      </c>
      <c r="H127" s="54">
        <v>10</v>
      </c>
      <c r="I127" s="54">
        <v>1</v>
      </c>
      <c r="J127" s="54">
        <v>6</v>
      </c>
      <c r="K127" s="54"/>
      <c r="L127" s="54">
        <v>6</v>
      </c>
      <c r="M127" s="54"/>
      <c r="N127" s="54" t="s">
        <v>161</v>
      </c>
      <c r="O127" s="54" t="s">
        <v>82</v>
      </c>
      <c r="P127" s="54"/>
      <c r="Q127" s="54"/>
      <c r="R127" s="70">
        <v>46230</v>
      </c>
      <c r="S127" s="54"/>
      <c r="T127" s="54" t="s">
        <v>518</v>
      </c>
      <c r="U127" s="54"/>
      <c r="V127" s="54"/>
      <c r="W127" s="54"/>
      <c r="X127" s="54" t="s">
        <v>762</v>
      </c>
      <c r="Y127" s="54"/>
      <c r="Z127" s="54"/>
      <c r="AA127" s="54"/>
      <c r="AB127" s="54"/>
    </row>
    <row r="128" spans="1:28" x14ac:dyDescent="0.3">
      <c r="A128" s="54">
        <v>127</v>
      </c>
      <c r="B128" s="54" t="s">
        <v>875</v>
      </c>
      <c r="C128" s="54" t="s">
        <v>65</v>
      </c>
      <c r="D128" s="54" t="s">
        <v>788</v>
      </c>
      <c r="E128" s="54" t="s">
        <v>101</v>
      </c>
      <c r="F128" s="54" t="s">
        <v>789</v>
      </c>
      <c r="G128" s="54" t="s">
        <v>746</v>
      </c>
      <c r="H128" s="54">
        <v>17</v>
      </c>
      <c r="I128" s="54">
        <v>1</v>
      </c>
      <c r="J128" s="54">
        <v>6</v>
      </c>
      <c r="K128" s="54">
        <v>8.34</v>
      </c>
      <c r="L128" s="54">
        <v>2.0699999999999998</v>
      </c>
      <c r="M128" s="54">
        <v>4.41</v>
      </c>
      <c r="N128" s="54" t="s">
        <v>69</v>
      </c>
      <c r="O128" s="54" t="s">
        <v>82</v>
      </c>
      <c r="P128" s="54">
        <v>139</v>
      </c>
      <c r="Q128" s="54">
        <v>213.04</v>
      </c>
      <c r="R128" s="70">
        <v>46225</v>
      </c>
      <c r="S128" s="70">
        <v>46235</v>
      </c>
      <c r="T128" s="54" t="s">
        <v>107</v>
      </c>
      <c r="U128" s="54"/>
      <c r="V128" s="54"/>
      <c r="W128" s="54"/>
      <c r="X128" s="54" t="s">
        <v>762</v>
      </c>
      <c r="Y128" s="54"/>
      <c r="Z128" s="54" t="s">
        <v>790</v>
      </c>
      <c r="AA128" s="54"/>
      <c r="AB128" s="54" t="s">
        <v>791</v>
      </c>
    </row>
    <row r="129" spans="1:28" x14ac:dyDescent="0.3">
      <c r="A129" s="54">
        <v>128</v>
      </c>
      <c r="B129" s="54" t="s">
        <v>875</v>
      </c>
      <c r="C129" s="54" t="s">
        <v>65</v>
      </c>
      <c r="D129" s="54" t="s">
        <v>792</v>
      </c>
      <c r="E129" s="54" t="s">
        <v>101</v>
      </c>
      <c r="F129" s="54" t="s">
        <v>793</v>
      </c>
      <c r="G129" s="54" t="s">
        <v>746</v>
      </c>
      <c r="H129" s="54">
        <v>17</v>
      </c>
      <c r="I129" s="54">
        <v>1</v>
      </c>
      <c r="J129" s="54">
        <v>1</v>
      </c>
      <c r="K129" s="54"/>
      <c r="L129" s="54">
        <v>1</v>
      </c>
      <c r="M129" s="54"/>
      <c r="N129" s="54" t="s">
        <v>69</v>
      </c>
      <c r="O129" s="54" t="s">
        <v>77</v>
      </c>
      <c r="P129" s="54"/>
      <c r="Q129" s="54"/>
      <c r="R129" s="70">
        <v>46223</v>
      </c>
      <c r="S129" s="54"/>
      <c r="T129" s="54" t="s">
        <v>518</v>
      </c>
      <c r="U129" s="54"/>
      <c r="V129" s="54"/>
      <c r="W129" s="54"/>
      <c r="X129" s="54" t="s">
        <v>762</v>
      </c>
      <c r="Y129" s="54"/>
      <c r="Z129" s="54"/>
      <c r="AA129" s="54"/>
      <c r="AB129" s="54"/>
    </row>
    <row r="130" spans="1:28" x14ac:dyDescent="0.3">
      <c r="A130" s="54">
        <v>129</v>
      </c>
      <c r="B130" s="54" t="s">
        <v>875</v>
      </c>
      <c r="C130" s="54" t="s">
        <v>65</v>
      </c>
      <c r="D130" s="54" t="s">
        <v>794</v>
      </c>
      <c r="E130" s="54" t="s">
        <v>101</v>
      </c>
      <c r="F130" s="54" t="s">
        <v>795</v>
      </c>
      <c r="G130" s="54" t="s">
        <v>746</v>
      </c>
      <c r="H130" s="54">
        <v>19</v>
      </c>
      <c r="I130" s="54">
        <v>1</v>
      </c>
      <c r="J130" s="54">
        <v>4</v>
      </c>
      <c r="K130" s="54"/>
      <c r="L130" s="54">
        <v>4</v>
      </c>
      <c r="M130" s="54"/>
      <c r="N130" s="54" t="s">
        <v>69</v>
      </c>
      <c r="O130" s="54" t="s">
        <v>77</v>
      </c>
      <c r="P130" s="54"/>
      <c r="Q130" s="54"/>
      <c r="R130" s="70">
        <v>46223</v>
      </c>
      <c r="S130" s="54"/>
      <c r="T130" s="54" t="s">
        <v>69</v>
      </c>
      <c r="U130" s="54"/>
      <c r="V130" s="54"/>
      <c r="W130" s="54"/>
      <c r="X130" s="54" t="s">
        <v>762</v>
      </c>
      <c r="Y130" s="54"/>
      <c r="Z130" s="54"/>
      <c r="AA130" s="54"/>
      <c r="AB130" s="54"/>
    </row>
    <row r="131" spans="1:28" x14ac:dyDescent="0.3">
      <c r="A131" s="54">
        <v>130</v>
      </c>
      <c r="B131" s="54" t="s">
        <v>875</v>
      </c>
      <c r="C131" s="54" t="s">
        <v>65</v>
      </c>
      <c r="D131" s="54" t="s">
        <v>796</v>
      </c>
      <c r="E131" s="54" t="s">
        <v>101</v>
      </c>
      <c r="F131" s="54" t="s">
        <v>797</v>
      </c>
      <c r="G131" s="54" t="s">
        <v>746</v>
      </c>
      <c r="H131" s="54">
        <v>21</v>
      </c>
      <c r="I131" s="54">
        <v>1</v>
      </c>
      <c r="J131" s="54">
        <v>4</v>
      </c>
      <c r="K131" s="54"/>
      <c r="L131" s="54">
        <v>4</v>
      </c>
      <c r="M131" s="54"/>
      <c r="N131" s="54" t="s">
        <v>69</v>
      </c>
      <c r="O131" s="54" t="s">
        <v>77</v>
      </c>
      <c r="P131" s="54"/>
      <c r="Q131" s="54"/>
      <c r="R131" s="70">
        <v>46221</v>
      </c>
      <c r="S131" s="54"/>
      <c r="T131" s="54" t="s">
        <v>69</v>
      </c>
      <c r="U131" s="54"/>
      <c r="V131" s="54"/>
      <c r="W131" s="54"/>
      <c r="X131" s="54" t="s">
        <v>762</v>
      </c>
      <c r="Y131" s="54"/>
      <c r="Z131" s="54"/>
      <c r="AA131" s="54"/>
      <c r="AB131" s="54"/>
    </row>
    <row r="132" spans="1:28" x14ac:dyDescent="0.3">
      <c r="A132" s="54">
        <v>131</v>
      </c>
      <c r="B132" s="54" t="s">
        <v>875</v>
      </c>
      <c r="C132" s="54" t="s">
        <v>65</v>
      </c>
      <c r="D132" s="54" t="s">
        <v>798</v>
      </c>
      <c r="E132" s="54" t="s">
        <v>101</v>
      </c>
      <c r="F132" s="54" t="s">
        <v>799</v>
      </c>
      <c r="G132" s="54" t="s">
        <v>746</v>
      </c>
      <c r="H132" s="54">
        <v>62</v>
      </c>
      <c r="I132" s="54">
        <v>1</v>
      </c>
      <c r="J132" s="54">
        <v>8</v>
      </c>
      <c r="K132" s="54">
        <v>6.96</v>
      </c>
      <c r="L132" s="54">
        <v>8</v>
      </c>
      <c r="M132" s="54">
        <v>6.96</v>
      </c>
      <c r="N132" s="54" t="s">
        <v>69</v>
      </c>
      <c r="O132" s="54" t="s">
        <v>82</v>
      </c>
      <c r="P132" s="54">
        <v>87</v>
      </c>
      <c r="Q132" s="54">
        <v>87</v>
      </c>
      <c r="R132" s="70">
        <v>46180</v>
      </c>
      <c r="S132" s="70">
        <v>46240</v>
      </c>
      <c r="T132" s="54" t="s">
        <v>107</v>
      </c>
      <c r="U132" s="54"/>
      <c r="V132" s="54"/>
      <c r="W132" s="54"/>
      <c r="X132" s="54" t="s">
        <v>762</v>
      </c>
      <c r="Y132" s="54"/>
      <c r="Z132" s="54"/>
      <c r="AA132" s="54"/>
      <c r="AB132" s="54" t="s">
        <v>800</v>
      </c>
    </row>
    <row r="133" spans="1:28" x14ac:dyDescent="0.3">
      <c r="A133" s="54">
        <v>132</v>
      </c>
      <c r="B133" s="54" t="s">
        <v>875</v>
      </c>
      <c r="C133" s="54" t="s">
        <v>65</v>
      </c>
      <c r="D133" s="54" t="s">
        <v>801</v>
      </c>
      <c r="E133" s="54" t="s">
        <v>101</v>
      </c>
      <c r="F133" s="54" t="s">
        <v>802</v>
      </c>
      <c r="G133" s="54" t="s">
        <v>745</v>
      </c>
      <c r="H133" s="54">
        <v>7</v>
      </c>
      <c r="I133" s="54">
        <v>1</v>
      </c>
      <c r="J133" s="54">
        <v>8</v>
      </c>
      <c r="K133" s="54">
        <v>8.19</v>
      </c>
      <c r="L133" s="54">
        <v>0.5</v>
      </c>
      <c r="M133" s="54">
        <v>8.19</v>
      </c>
      <c r="N133" s="54" t="s">
        <v>69</v>
      </c>
      <c r="O133" s="54" t="s">
        <v>82</v>
      </c>
      <c r="P133" s="54">
        <v>102.38</v>
      </c>
      <c r="Q133" s="54">
        <v>1638</v>
      </c>
      <c r="R133" s="70">
        <v>46235</v>
      </c>
      <c r="S133" s="70">
        <v>46239</v>
      </c>
      <c r="T133" s="54" t="s">
        <v>107</v>
      </c>
      <c r="U133" s="54"/>
      <c r="V133" s="54"/>
      <c r="W133" s="54"/>
      <c r="X133" s="54" t="s">
        <v>803</v>
      </c>
      <c r="Y133" s="54"/>
      <c r="Z133" s="54"/>
      <c r="AA133" s="54"/>
      <c r="AB133" s="54" t="s">
        <v>804</v>
      </c>
    </row>
    <row r="134" spans="1:28" x14ac:dyDescent="0.3">
      <c r="A134" s="54">
        <v>133</v>
      </c>
      <c r="B134" s="54" t="s">
        <v>875</v>
      </c>
      <c r="C134" s="54" t="s">
        <v>65</v>
      </c>
      <c r="D134" s="54" t="s">
        <v>805</v>
      </c>
      <c r="E134" s="54" t="s">
        <v>101</v>
      </c>
      <c r="F134" s="54" t="s">
        <v>806</v>
      </c>
      <c r="G134" s="54" t="s">
        <v>745</v>
      </c>
      <c r="H134" s="54">
        <v>7</v>
      </c>
      <c r="I134" s="54">
        <v>1</v>
      </c>
      <c r="J134" s="54">
        <v>9.5</v>
      </c>
      <c r="K134" s="54"/>
      <c r="L134" s="54">
        <v>0.5</v>
      </c>
      <c r="M134" s="54"/>
      <c r="N134" s="54" t="s">
        <v>69</v>
      </c>
      <c r="O134" s="54" t="s">
        <v>82</v>
      </c>
      <c r="P134" s="54"/>
      <c r="Q134" s="54"/>
      <c r="R134" s="70">
        <v>46235</v>
      </c>
      <c r="S134" s="70">
        <v>46240</v>
      </c>
      <c r="T134" s="54" t="s">
        <v>107</v>
      </c>
      <c r="U134" s="54"/>
      <c r="V134" s="54"/>
      <c r="W134" s="54"/>
      <c r="X134" s="54" t="s">
        <v>803</v>
      </c>
      <c r="Y134" s="54"/>
      <c r="Z134" s="54" t="s">
        <v>807</v>
      </c>
      <c r="AA134" s="54"/>
      <c r="AB134" s="54" t="s">
        <v>808</v>
      </c>
    </row>
    <row r="135" spans="1:28" x14ac:dyDescent="0.3">
      <c r="A135" s="54">
        <v>134</v>
      </c>
      <c r="B135" s="54" t="s">
        <v>875</v>
      </c>
      <c r="C135" s="54" t="s">
        <v>65</v>
      </c>
      <c r="D135" s="54" t="s">
        <v>809</v>
      </c>
      <c r="E135" s="54" t="s">
        <v>101</v>
      </c>
      <c r="F135" s="54" t="s">
        <v>810</v>
      </c>
      <c r="G135" s="54" t="s">
        <v>745</v>
      </c>
      <c r="H135" s="54">
        <v>12</v>
      </c>
      <c r="I135" s="54">
        <v>1</v>
      </c>
      <c r="J135" s="54">
        <v>18</v>
      </c>
      <c r="K135" s="54"/>
      <c r="L135" s="54">
        <v>0.5</v>
      </c>
      <c r="M135" s="54"/>
      <c r="N135" s="54" t="s">
        <v>69</v>
      </c>
      <c r="O135" s="54" t="s">
        <v>82</v>
      </c>
      <c r="P135" s="54"/>
      <c r="Q135" s="54"/>
      <c r="R135" s="70">
        <v>46230</v>
      </c>
      <c r="S135" s="70">
        <v>46241</v>
      </c>
      <c r="T135" s="54" t="s">
        <v>69</v>
      </c>
      <c r="U135" s="54"/>
      <c r="V135" s="54"/>
      <c r="W135" s="54"/>
      <c r="X135" s="54" t="s">
        <v>803</v>
      </c>
      <c r="Y135" s="54"/>
      <c r="Z135" s="54"/>
      <c r="AA135" s="54"/>
      <c r="AB135" s="54" t="s">
        <v>811</v>
      </c>
    </row>
    <row r="136" spans="1:28" x14ac:dyDescent="0.3">
      <c r="A136" s="54">
        <v>135</v>
      </c>
      <c r="B136" s="54" t="s">
        <v>875</v>
      </c>
      <c r="C136" s="54" t="s">
        <v>65</v>
      </c>
      <c r="D136" s="54" t="s">
        <v>812</v>
      </c>
      <c r="E136" s="54" t="s">
        <v>101</v>
      </c>
      <c r="F136" s="54" t="s">
        <v>813</v>
      </c>
      <c r="G136" s="54" t="s">
        <v>745</v>
      </c>
      <c r="H136" s="54">
        <v>12</v>
      </c>
      <c r="I136" s="54">
        <v>1</v>
      </c>
      <c r="J136" s="54">
        <v>8</v>
      </c>
      <c r="K136" s="54"/>
      <c r="L136" s="54">
        <v>8</v>
      </c>
      <c r="M136" s="54"/>
      <c r="N136" s="54" t="s">
        <v>69</v>
      </c>
      <c r="O136" s="54" t="s">
        <v>82</v>
      </c>
      <c r="P136" s="54"/>
      <c r="Q136" s="54"/>
      <c r="R136" s="70">
        <v>46230</v>
      </c>
      <c r="S136" s="54"/>
      <c r="T136" s="54" t="s">
        <v>69</v>
      </c>
      <c r="U136" s="54"/>
      <c r="V136" s="54"/>
      <c r="W136" s="54"/>
      <c r="X136" s="54" t="s">
        <v>803</v>
      </c>
      <c r="Y136" s="54"/>
      <c r="Z136" s="54"/>
      <c r="AA136" s="54"/>
      <c r="AB136" s="54"/>
    </row>
    <row r="137" spans="1:28" x14ac:dyDescent="0.3">
      <c r="A137" s="54">
        <v>136</v>
      </c>
      <c r="B137" s="54" t="s">
        <v>875</v>
      </c>
      <c r="C137" s="54" t="s">
        <v>65</v>
      </c>
      <c r="D137" s="54" t="s">
        <v>814</v>
      </c>
      <c r="E137" s="54" t="s">
        <v>101</v>
      </c>
      <c r="F137" s="54" t="s">
        <v>815</v>
      </c>
      <c r="G137" s="54" t="s">
        <v>745</v>
      </c>
      <c r="H137" s="54">
        <v>33</v>
      </c>
      <c r="I137" s="54">
        <v>1</v>
      </c>
      <c r="J137" s="54">
        <v>16</v>
      </c>
      <c r="K137" s="54">
        <v>13.93</v>
      </c>
      <c r="L137" s="54">
        <v>0.5</v>
      </c>
      <c r="M137" s="54">
        <v>7.2</v>
      </c>
      <c r="N137" s="54" t="s">
        <v>69</v>
      </c>
      <c r="O137" s="54" t="s">
        <v>82</v>
      </c>
      <c r="P137" s="54">
        <v>87.06</v>
      </c>
      <c r="Q137" s="54">
        <v>1440</v>
      </c>
      <c r="R137" s="70">
        <v>46209</v>
      </c>
      <c r="S137" s="70">
        <v>46237</v>
      </c>
      <c r="T137" s="54" t="s">
        <v>107</v>
      </c>
      <c r="U137" s="54"/>
      <c r="V137" s="54"/>
      <c r="W137" s="54"/>
      <c r="X137" s="54" t="s">
        <v>803</v>
      </c>
      <c r="Y137" s="54"/>
      <c r="Z137" s="54"/>
      <c r="AA137" s="54"/>
      <c r="AB137" s="54" t="s">
        <v>816</v>
      </c>
    </row>
    <row r="138" spans="1:28" x14ac:dyDescent="0.3">
      <c r="A138" s="54">
        <v>137</v>
      </c>
      <c r="B138" s="54" t="s">
        <v>875</v>
      </c>
      <c r="C138" s="54" t="s">
        <v>65</v>
      </c>
      <c r="D138" s="54" t="s">
        <v>817</v>
      </c>
      <c r="E138" s="54" t="s">
        <v>101</v>
      </c>
      <c r="F138" s="54" t="s">
        <v>818</v>
      </c>
      <c r="G138" s="54" t="s">
        <v>745</v>
      </c>
      <c r="H138" s="54">
        <v>35</v>
      </c>
      <c r="I138" s="54">
        <v>1</v>
      </c>
      <c r="J138" s="54">
        <v>8</v>
      </c>
      <c r="K138" s="54"/>
      <c r="L138" s="54">
        <v>0.5</v>
      </c>
      <c r="M138" s="54"/>
      <c r="N138" s="54" t="s">
        <v>69</v>
      </c>
      <c r="O138" s="54" t="s">
        <v>77</v>
      </c>
      <c r="P138" s="54"/>
      <c r="Q138" s="54"/>
      <c r="R138" s="70">
        <v>46207</v>
      </c>
      <c r="S138" s="70">
        <v>46241</v>
      </c>
      <c r="T138" s="54" t="s">
        <v>69</v>
      </c>
      <c r="U138" s="54"/>
      <c r="V138" s="54"/>
      <c r="W138" s="54"/>
      <c r="X138" s="54" t="s">
        <v>803</v>
      </c>
      <c r="Y138" s="54"/>
      <c r="Z138" s="54"/>
      <c r="AA138" s="54"/>
      <c r="AB138" s="54"/>
    </row>
    <row r="139" spans="1:28" x14ac:dyDescent="0.3">
      <c r="A139" s="54">
        <v>138</v>
      </c>
      <c r="B139" s="54" t="s">
        <v>875</v>
      </c>
      <c r="C139" s="54" t="s">
        <v>65</v>
      </c>
      <c r="D139" s="54" t="s">
        <v>819</v>
      </c>
      <c r="E139" s="54" t="s">
        <v>101</v>
      </c>
      <c r="F139" s="54" t="s">
        <v>820</v>
      </c>
      <c r="G139" s="54" t="s">
        <v>745</v>
      </c>
      <c r="H139" s="54">
        <v>35</v>
      </c>
      <c r="I139" s="54">
        <v>1</v>
      </c>
      <c r="J139" s="54">
        <v>6</v>
      </c>
      <c r="K139" s="54"/>
      <c r="L139" s="54">
        <v>6</v>
      </c>
      <c r="M139" s="54"/>
      <c r="N139" s="54" t="s">
        <v>69</v>
      </c>
      <c r="O139" s="54" t="s">
        <v>77</v>
      </c>
      <c r="P139" s="54"/>
      <c r="Q139" s="54"/>
      <c r="R139" s="70">
        <v>46207</v>
      </c>
      <c r="S139" s="70">
        <v>46209</v>
      </c>
      <c r="T139" s="54" t="s">
        <v>69</v>
      </c>
      <c r="U139" s="54"/>
      <c r="V139" s="54"/>
      <c r="W139" s="54"/>
      <c r="X139" s="54" t="s">
        <v>803</v>
      </c>
      <c r="Y139" s="54"/>
      <c r="Z139" s="54"/>
      <c r="AA139" s="54"/>
      <c r="AB139" s="54"/>
    </row>
    <row r="140" spans="1:28" x14ac:dyDescent="0.3">
      <c r="A140" s="54">
        <v>139</v>
      </c>
      <c r="B140" s="54" t="s">
        <v>875</v>
      </c>
      <c r="C140" s="54" t="s">
        <v>65</v>
      </c>
      <c r="D140" s="54" t="s">
        <v>821</v>
      </c>
      <c r="E140" s="54" t="s">
        <v>101</v>
      </c>
      <c r="F140" s="54" t="s">
        <v>822</v>
      </c>
      <c r="G140" s="54" t="s">
        <v>747</v>
      </c>
      <c r="H140" s="54">
        <v>7</v>
      </c>
      <c r="I140" s="54">
        <v>1</v>
      </c>
      <c r="J140" s="54">
        <v>9.5</v>
      </c>
      <c r="K140" s="54">
        <v>9.5299999999999994</v>
      </c>
      <c r="L140" s="54">
        <v>6</v>
      </c>
      <c r="M140" s="54">
        <v>9.5299999999999994</v>
      </c>
      <c r="N140" s="54" t="s">
        <v>161</v>
      </c>
      <c r="O140" s="54" t="s">
        <v>82</v>
      </c>
      <c r="P140" s="54">
        <v>100.32</v>
      </c>
      <c r="Q140" s="54">
        <v>158.83000000000001</v>
      </c>
      <c r="R140" s="70">
        <v>46235</v>
      </c>
      <c r="S140" s="70">
        <v>46239</v>
      </c>
      <c r="T140" s="54" t="s">
        <v>107</v>
      </c>
      <c r="U140" s="54"/>
      <c r="V140" s="54"/>
      <c r="W140" s="54"/>
      <c r="X140" s="54" t="s">
        <v>750</v>
      </c>
      <c r="Y140" s="54"/>
      <c r="Z140" s="54" t="s">
        <v>823</v>
      </c>
      <c r="AA140" s="54"/>
      <c r="AB140" s="54" t="s">
        <v>824</v>
      </c>
    </row>
    <row r="141" spans="1:28" x14ac:dyDescent="0.3">
      <c r="A141" s="54">
        <v>140</v>
      </c>
      <c r="B141" s="54" t="s">
        <v>875</v>
      </c>
      <c r="C141" s="54" t="s">
        <v>65</v>
      </c>
      <c r="D141" s="54" t="s">
        <v>825</v>
      </c>
      <c r="E141" s="54" t="s">
        <v>101</v>
      </c>
      <c r="F141" s="54" t="s">
        <v>826</v>
      </c>
      <c r="G141" s="54" t="s">
        <v>747</v>
      </c>
      <c r="H141" s="54">
        <v>7</v>
      </c>
      <c r="I141" s="54">
        <v>1</v>
      </c>
      <c r="J141" s="54">
        <v>3</v>
      </c>
      <c r="K141" s="54">
        <v>1.44</v>
      </c>
      <c r="L141" s="54">
        <v>3</v>
      </c>
      <c r="M141" s="54">
        <v>1.44</v>
      </c>
      <c r="N141" s="54" t="s">
        <v>69</v>
      </c>
      <c r="O141" s="54" t="s">
        <v>82</v>
      </c>
      <c r="P141" s="54">
        <v>48</v>
      </c>
      <c r="Q141" s="54">
        <v>48</v>
      </c>
      <c r="R141" s="70">
        <v>46235</v>
      </c>
      <c r="S141" s="70">
        <v>46235</v>
      </c>
      <c r="T141" s="54" t="s">
        <v>107</v>
      </c>
      <c r="U141" s="54"/>
      <c r="V141" s="54"/>
      <c r="W141" s="54"/>
      <c r="X141" s="54" t="s">
        <v>750</v>
      </c>
      <c r="Y141" s="54"/>
      <c r="Z141" s="54"/>
      <c r="AA141" s="54"/>
      <c r="AB141" s="54" t="s">
        <v>827</v>
      </c>
    </row>
    <row r="142" spans="1:28" x14ac:dyDescent="0.3">
      <c r="A142" s="54">
        <v>141</v>
      </c>
      <c r="B142" s="54" t="s">
        <v>875</v>
      </c>
      <c r="C142" s="54" t="s">
        <v>65</v>
      </c>
      <c r="D142" s="54" t="s">
        <v>828</v>
      </c>
      <c r="E142" s="54" t="s">
        <v>101</v>
      </c>
      <c r="F142" s="54" t="s">
        <v>829</v>
      </c>
      <c r="G142" s="54" t="s">
        <v>747</v>
      </c>
      <c r="H142" s="54">
        <v>7</v>
      </c>
      <c r="I142" s="54">
        <v>1</v>
      </c>
      <c r="J142" s="54">
        <v>4.5</v>
      </c>
      <c r="K142" s="54">
        <v>4.79</v>
      </c>
      <c r="L142" s="54">
        <v>2.1</v>
      </c>
      <c r="M142" s="54">
        <v>4.79</v>
      </c>
      <c r="N142" s="54" t="s">
        <v>69</v>
      </c>
      <c r="O142" s="54" t="s">
        <v>82</v>
      </c>
      <c r="P142" s="54">
        <v>106.44</v>
      </c>
      <c r="Q142" s="54">
        <v>228.1</v>
      </c>
      <c r="R142" s="70">
        <v>46235</v>
      </c>
      <c r="S142" s="70">
        <v>46241</v>
      </c>
      <c r="T142" s="54" t="s">
        <v>107</v>
      </c>
      <c r="U142" s="54"/>
      <c r="V142" s="54"/>
      <c r="W142" s="54"/>
      <c r="X142" s="54" t="s">
        <v>750</v>
      </c>
      <c r="Y142" s="54"/>
      <c r="Z142" s="54" t="s">
        <v>830</v>
      </c>
      <c r="AA142" s="54"/>
      <c r="AB142" s="54" t="s">
        <v>831</v>
      </c>
    </row>
    <row r="143" spans="1:28" x14ac:dyDescent="0.3">
      <c r="A143" s="54">
        <v>142</v>
      </c>
      <c r="B143" s="54" t="s">
        <v>875</v>
      </c>
      <c r="C143" s="54" t="s">
        <v>65</v>
      </c>
      <c r="D143" s="54" t="s">
        <v>832</v>
      </c>
      <c r="E143" s="54" t="s">
        <v>101</v>
      </c>
      <c r="F143" s="54" t="s">
        <v>833</v>
      </c>
      <c r="G143" s="54" t="s">
        <v>747</v>
      </c>
      <c r="H143" s="54">
        <v>8</v>
      </c>
      <c r="I143" s="54">
        <v>1</v>
      </c>
      <c r="J143" s="54">
        <v>2</v>
      </c>
      <c r="K143" s="54">
        <v>3.44</v>
      </c>
      <c r="L143" s="54">
        <v>2</v>
      </c>
      <c r="M143" s="54">
        <v>1.22</v>
      </c>
      <c r="N143" s="54" t="s">
        <v>69</v>
      </c>
      <c r="O143" s="54" t="s">
        <v>77</v>
      </c>
      <c r="P143" s="54">
        <v>172</v>
      </c>
      <c r="Q143" s="54">
        <v>61</v>
      </c>
      <c r="R143" s="70">
        <v>46234</v>
      </c>
      <c r="S143" s="70">
        <v>46234</v>
      </c>
      <c r="T143" s="54" t="s">
        <v>107</v>
      </c>
      <c r="U143" s="54"/>
      <c r="V143" s="54"/>
      <c r="W143" s="54"/>
      <c r="X143" s="54" t="s">
        <v>750</v>
      </c>
      <c r="Y143" s="54"/>
      <c r="Z143" s="54" t="s">
        <v>834</v>
      </c>
      <c r="AA143" s="54"/>
      <c r="AB143" s="54" t="s">
        <v>835</v>
      </c>
    </row>
    <row r="144" spans="1:28" x14ac:dyDescent="0.3">
      <c r="A144" s="54">
        <v>143</v>
      </c>
      <c r="B144" s="54" t="s">
        <v>875</v>
      </c>
      <c r="C144" s="54" t="s">
        <v>65</v>
      </c>
      <c r="D144" s="54" t="s">
        <v>836</v>
      </c>
      <c r="E144" s="54" t="s">
        <v>101</v>
      </c>
      <c r="F144" s="54" t="s">
        <v>837</v>
      </c>
      <c r="G144" s="54" t="s">
        <v>747</v>
      </c>
      <c r="H144" s="54">
        <v>12</v>
      </c>
      <c r="I144" s="54">
        <v>1</v>
      </c>
      <c r="J144" s="54">
        <v>4</v>
      </c>
      <c r="K144" s="54"/>
      <c r="L144" s="54">
        <v>4</v>
      </c>
      <c r="M144" s="54"/>
      <c r="N144" s="54" t="s">
        <v>161</v>
      </c>
      <c r="O144" s="54" t="s">
        <v>82</v>
      </c>
      <c r="P144" s="54"/>
      <c r="Q144" s="54"/>
      <c r="R144" s="70">
        <v>46230</v>
      </c>
      <c r="S144" s="70">
        <v>46242</v>
      </c>
      <c r="T144" s="54" t="s">
        <v>69</v>
      </c>
      <c r="U144" s="54"/>
      <c r="V144" s="54"/>
      <c r="W144" s="54"/>
      <c r="X144" s="54" t="s">
        <v>750</v>
      </c>
      <c r="Y144" s="54"/>
      <c r="Z144" s="54"/>
      <c r="AA144" s="54"/>
      <c r="AB144" s="54"/>
    </row>
    <row r="145" spans="1:28" x14ac:dyDescent="0.3">
      <c r="A145" s="54">
        <v>144</v>
      </c>
      <c r="B145" s="54" t="s">
        <v>875</v>
      </c>
      <c r="C145" s="54" t="s">
        <v>65</v>
      </c>
      <c r="D145" s="54" t="s">
        <v>838</v>
      </c>
      <c r="E145" s="54" t="s">
        <v>101</v>
      </c>
      <c r="F145" s="54" t="s">
        <v>839</v>
      </c>
      <c r="G145" s="54" t="s">
        <v>747</v>
      </c>
      <c r="H145" s="54">
        <v>17</v>
      </c>
      <c r="I145" s="54">
        <v>1</v>
      </c>
      <c r="J145" s="54">
        <v>1</v>
      </c>
      <c r="K145" s="54">
        <v>1.41</v>
      </c>
      <c r="L145" s="54">
        <v>1</v>
      </c>
      <c r="M145" s="54">
        <v>1.41</v>
      </c>
      <c r="N145" s="54" t="s">
        <v>69</v>
      </c>
      <c r="O145" s="54" t="s">
        <v>82</v>
      </c>
      <c r="P145" s="54">
        <v>141</v>
      </c>
      <c r="Q145" s="54">
        <v>141</v>
      </c>
      <c r="R145" s="70">
        <v>46225</v>
      </c>
      <c r="S145" s="70">
        <v>46239</v>
      </c>
      <c r="T145" s="54" t="s">
        <v>107</v>
      </c>
      <c r="U145" s="54"/>
      <c r="V145" s="54"/>
      <c r="W145" s="54"/>
      <c r="X145" s="54" t="s">
        <v>750</v>
      </c>
      <c r="Y145" s="54"/>
      <c r="Z145" s="54" t="s">
        <v>840</v>
      </c>
      <c r="AA145" s="54"/>
      <c r="AB145" s="54" t="s">
        <v>841</v>
      </c>
    </row>
    <row r="146" spans="1:28" x14ac:dyDescent="0.3">
      <c r="A146" s="54">
        <v>145</v>
      </c>
      <c r="B146" s="54" t="s">
        <v>875</v>
      </c>
      <c r="C146" s="54" t="s">
        <v>65</v>
      </c>
      <c r="D146" s="54" t="s">
        <v>842</v>
      </c>
      <c r="E146" s="54" t="s">
        <v>101</v>
      </c>
      <c r="F146" s="54" t="s">
        <v>843</v>
      </c>
      <c r="G146" s="54" t="s">
        <v>747</v>
      </c>
      <c r="H146" s="54">
        <v>17</v>
      </c>
      <c r="I146" s="54">
        <v>1</v>
      </c>
      <c r="J146" s="54">
        <v>5.5</v>
      </c>
      <c r="K146" s="54">
        <v>1.48</v>
      </c>
      <c r="L146" s="54">
        <v>8</v>
      </c>
      <c r="M146" s="54">
        <v>1.48</v>
      </c>
      <c r="N146" s="54" t="s">
        <v>69</v>
      </c>
      <c r="O146" s="54" t="s">
        <v>82</v>
      </c>
      <c r="P146" s="54">
        <v>26.91</v>
      </c>
      <c r="Q146" s="54">
        <v>18.5</v>
      </c>
      <c r="R146" s="70">
        <v>46225</v>
      </c>
      <c r="S146" s="70">
        <v>46241</v>
      </c>
      <c r="T146" s="54" t="s">
        <v>69</v>
      </c>
      <c r="U146" s="54"/>
      <c r="V146" s="54"/>
      <c r="W146" s="54"/>
      <c r="X146" s="54" t="s">
        <v>750</v>
      </c>
      <c r="Y146" s="54"/>
      <c r="Z146" s="54"/>
      <c r="AA146" s="54"/>
      <c r="AB146" s="54"/>
    </row>
    <row r="147" spans="1:28" x14ac:dyDescent="0.3">
      <c r="A147" s="54">
        <v>146</v>
      </c>
      <c r="B147" s="54" t="s">
        <v>875</v>
      </c>
      <c r="C147" s="54" t="s">
        <v>65</v>
      </c>
      <c r="D147" s="54" t="s">
        <v>844</v>
      </c>
      <c r="E147" s="54" t="s">
        <v>101</v>
      </c>
      <c r="F147" s="54" t="s">
        <v>845</v>
      </c>
      <c r="G147" s="54" t="s">
        <v>747</v>
      </c>
      <c r="H147" s="54">
        <v>17</v>
      </c>
      <c r="I147" s="54">
        <v>1</v>
      </c>
      <c r="J147" s="54">
        <v>8</v>
      </c>
      <c r="K147" s="54"/>
      <c r="L147" s="54">
        <v>8</v>
      </c>
      <c r="M147" s="54"/>
      <c r="N147" s="54" t="s">
        <v>69</v>
      </c>
      <c r="O147" s="54" t="s">
        <v>82</v>
      </c>
      <c r="P147" s="54"/>
      <c r="Q147" s="54"/>
      <c r="R147" s="70">
        <v>46225</v>
      </c>
      <c r="S147" s="54"/>
      <c r="T147" s="54" t="s">
        <v>69</v>
      </c>
      <c r="U147" s="54"/>
      <c r="V147" s="54"/>
      <c r="W147" s="54"/>
      <c r="X147" s="54" t="s">
        <v>750</v>
      </c>
      <c r="Y147" s="54"/>
      <c r="Z147" s="54"/>
      <c r="AA147" s="54"/>
      <c r="AB147" s="54"/>
    </row>
    <row r="148" spans="1:28" x14ac:dyDescent="0.3">
      <c r="A148" s="54">
        <v>147</v>
      </c>
      <c r="B148" s="54" t="s">
        <v>875</v>
      </c>
      <c r="C148" s="54" t="s">
        <v>65</v>
      </c>
      <c r="D148" s="54" t="s">
        <v>846</v>
      </c>
      <c r="E148" s="54" t="s">
        <v>101</v>
      </c>
      <c r="F148" s="54" t="s">
        <v>847</v>
      </c>
      <c r="G148" s="54" t="s">
        <v>747</v>
      </c>
      <c r="H148" s="54">
        <v>17</v>
      </c>
      <c r="I148" s="54">
        <v>1</v>
      </c>
      <c r="J148" s="54">
        <v>2</v>
      </c>
      <c r="K148" s="54">
        <v>1.25</v>
      </c>
      <c r="L148" s="54">
        <v>2</v>
      </c>
      <c r="M148" s="54">
        <v>1.25</v>
      </c>
      <c r="N148" s="54" t="s">
        <v>69</v>
      </c>
      <c r="O148" s="54" t="s">
        <v>82</v>
      </c>
      <c r="P148" s="54">
        <v>62.5</v>
      </c>
      <c r="Q148" s="54">
        <v>62.5</v>
      </c>
      <c r="R148" s="70">
        <v>46225</v>
      </c>
      <c r="S148" s="70">
        <v>46237</v>
      </c>
      <c r="T148" s="54" t="s">
        <v>107</v>
      </c>
      <c r="U148" s="54"/>
      <c r="V148" s="54"/>
      <c r="W148" s="54"/>
      <c r="X148" s="54" t="s">
        <v>750</v>
      </c>
      <c r="Y148" s="54"/>
      <c r="Z148" s="54"/>
      <c r="AA148" s="54"/>
      <c r="AB148" s="54" t="s">
        <v>848</v>
      </c>
    </row>
    <row r="149" spans="1:28" x14ac:dyDescent="0.3">
      <c r="A149" s="54">
        <v>148</v>
      </c>
      <c r="B149" s="54" t="s">
        <v>875</v>
      </c>
      <c r="C149" s="54" t="s">
        <v>65</v>
      </c>
      <c r="D149" s="54" t="s">
        <v>852</v>
      </c>
      <c r="E149" s="54" t="s">
        <v>101</v>
      </c>
      <c r="F149" s="54" t="s">
        <v>853</v>
      </c>
      <c r="G149" s="54" t="s">
        <v>747</v>
      </c>
      <c r="H149" s="54">
        <v>7</v>
      </c>
      <c r="I149" s="54">
        <v>1</v>
      </c>
      <c r="J149" s="54">
        <v>2</v>
      </c>
      <c r="K149" s="54">
        <v>6.26</v>
      </c>
      <c r="L149" s="54">
        <v>4</v>
      </c>
      <c r="M149" s="54">
        <v>6.26</v>
      </c>
      <c r="N149" s="54" t="s">
        <v>69</v>
      </c>
      <c r="O149" s="54" t="s">
        <v>82</v>
      </c>
      <c r="P149" s="54">
        <v>313</v>
      </c>
      <c r="Q149" s="54">
        <v>156.5</v>
      </c>
      <c r="R149" s="54"/>
      <c r="S149" s="70">
        <v>46240</v>
      </c>
      <c r="T149" s="54" t="s">
        <v>107</v>
      </c>
      <c r="U149" s="54"/>
      <c r="V149" s="54">
        <v>1</v>
      </c>
      <c r="W149" s="54"/>
      <c r="X149" s="54" t="s">
        <v>750</v>
      </c>
      <c r="Y149" s="54"/>
      <c r="Z149" s="54" t="s">
        <v>854</v>
      </c>
      <c r="AA149" s="54"/>
      <c r="AB149" s="54" t="s">
        <v>855</v>
      </c>
    </row>
    <row r="150" spans="1:28" x14ac:dyDescent="0.3">
      <c r="A150" s="54">
        <v>149</v>
      </c>
      <c r="B150" s="54" t="s">
        <v>875</v>
      </c>
      <c r="C150" s="54" t="s">
        <v>586</v>
      </c>
      <c r="D150" s="54" t="s">
        <v>856</v>
      </c>
      <c r="E150" s="54" t="s">
        <v>67</v>
      </c>
      <c r="F150" s="54" t="s">
        <v>857</v>
      </c>
      <c r="G150" s="54" t="s">
        <v>746</v>
      </c>
      <c r="H150" s="54">
        <v>2</v>
      </c>
      <c r="I150" s="54">
        <v>1</v>
      </c>
      <c r="J150" s="54">
        <v>6</v>
      </c>
      <c r="K150" s="54">
        <v>5.92</v>
      </c>
      <c r="L150" s="54">
        <v>6</v>
      </c>
      <c r="M150" s="54">
        <v>5.92</v>
      </c>
      <c r="N150" s="54" t="s">
        <v>69</v>
      </c>
      <c r="O150" s="54" t="s">
        <v>257</v>
      </c>
      <c r="P150" s="54">
        <v>98.67</v>
      </c>
      <c r="Q150" s="54">
        <v>98.67</v>
      </c>
      <c r="R150" s="54"/>
      <c r="S150" s="70">
        <v>46240</v>
      </c>
      <c r="T150" s="54" t="s">
        <v>107</v>
      </c>
      <c r="U150" s="54"/>
      <c r="V150" s="54"/>
      <c r="W150" s="54"/>
      <c r="X150" s="54" t="s">
        <v>762</v>
      </c>
      <c r="Y150" s="54"/>
      <c r="Z150" s="54"/>
      <c r="AA150" s="54"/>
      <c r="AB150" s="54" t="s">
        <v>858</v>
      </c>
    </row>
    <row r="151" spans="1:28" x14ac:dyDescent="0.3">
      <c r="A151" s="54">
        <v>150</v>
      </c>
      <c r="B151" s="54" t="s">
        <v>875</v>
      </c>
      <c r="C151" s="54" t="s">
        <v>65</v>
      </c>
      <c r="D151" s="54" t="s">
        <v>859</v>
      </c>
      <c r="E151" s="54" t="s">
        <v>125</v>
      </c>
      <c r="F151" s="54" t="s">
        <v>860</v>
      </c>
      <c r="G151" s="54" t="s">
        <v>746</v>
      </c>
      <c r="H151" s="54">
        <v>2</v>
      </c>
      <c r="I151" s="54">
        <v>1</v>
      </c>
      <c r="J151" s="54">
        <v>4</v>
      </c>
      <c r="K151" s="54">
        <v>10.7</v>
      </c>
      <c r="L151" s="54">
        <v>4</v>
      </c>
      <c r="M151" s="54">
        <v>10.7</v>
      </c>
      <c r="N151" s="54" t="s">
        <v>69</v>
      </c>
      <c r="O151" s="54" t="s">
        <v>77</v>
      </c>
      <c r="P151" s="54">
        <v>267.5</v>
      </c>
      <c r="Q151" s="54">
        <v>267.5</v>
      </c>
      <c r="R151" s="54"/>
      <c r="S151" s="70">
        <v>46241</v>
      </c>
      <c r="T151" s="54" t="s">
        <v>107</v>
      </c>
      <c r="U151" s="54"/>
      <c r="V151" s="54">
        <v>1</v>
      </c>
      <c r="W151" s="54"/>
      <c r="X151" s="54" t="s">
        <v>762</v>
      </c>
      <c r="Y151" s="54"/>
      <c r="Z151" s="54" t="s">
        <v>861</v>
      </c>
      <c r="AA151" s="54"/>
      <c r="AB151" s="54" t="s">
        <v>862</v>
      </c>
    </row>
    <row r="152" spans="1:28" x14ac:dyDescent="0.3">
      <c r="A152" s="54">
        <v>151</v>
      </c>
      <c r="B152" s="54" t="s">
        <v>875</v>
      </c>
      <c r="C152" s="54" t="s">
        <v>65</v>
      </c>
      <c r="D152" s="54" t="s">
        <v>863</v>
      </c>
      <c r="E152" s="54" t="s">
        <v>101</v>
      </c>
      <c r="F152" s="54" t="s">
        <v>864</v>
      </c>
      <c r="G152" s="54" t="s">
        <v>746</v>
      </c>
      <c r="H152" s="54">
        <v>7</v>
      </c>
      <c r="I152" s="54">
        <v>1</v>
      </c>
      <c r="J152" s="54">
        <v>4</v>
      </c>
      <c r="K152" s="54">
        <v>1.1599999999999999</v>
      </c>
      <c r="L152" s="54">
        <v>4</v>
      </c>
      <c r="M152" s="54"/>
      <c r="N152" s="54" t="s">
        <v>69</v>
      </c>
      <c r="O152" s="54" t="s">
        <v>82</v>
      </c>
      <c r="P152" s="54">
        <v>29</v>
      </c>
      <c r="Q152" s="54"/>
      <c r="R152" s="54"/>
      <c r="S152" s="70">
        <v>46242</v>
      </c>
      <c r="T152" s="54" t="s">
        <v>69</v>
      </c>
      <c r="U152" s="54"/>
      <c r="V152" s="54">
        <v>1</v>
      </c>
      <c r="W152" s="54"/>
      <c r="X152" s="54" t="s">
        <v>762</v>
      </c>
      <c r="Y152" s="54"/>
      <c r="Z152" s="54"/>
      <c r="AA152" s="54"/>
      <c r="AB152" s="54"/>
    </row>
    <row r="153" spans="1:28" x14ac:dyDescent="0.3">
      <c r="A153" s="54">
        <v>152</v>
      </c>
      <c r="B153" s="54" t="s">
        <v>875</v>
      </c>
      <c r="C153" s="54" t="s">
        <v>65</v>
      </c>
      <c r="D153" s="54" t="s">
        <v>865</v>
      </c>
      <c r="E153" s="54" t="s">
        <v>101</v>
      </c>
      <c r="F153" s="54" t="s">
        <v>866</v>
      </c>
      <c r="G153" s="54" t="s">
        <v>747</v>
      </c>
      <c r="H153" s="54">
        <v>7</v>
      </c>
      <c r="I153" s="54">
        <v>1</v>
      </c>
      <c r="J153" s="54">
        <v>1</v>
      </c>
      <c r="K153" s="54">
        <v>0.96</v>
      </c>
      <c r="L153" s="54">
        <v>1</v>
      </c>
      <c r="M153" s="54">
        <v>0.96</v>
      </c>
      <c r="N153" s="54" t="s">
        <v>69</v>
      </c>
      <c r="O153" s="54" t="s">
        <v>82</v>
      </c>
      <c r="P153" s="54">
        <v>96</v>
      </c>
      <c r="Q153" s="54">
        <v>96</v>
      </c>
      <c r="R153" s="54"/>
      <c r="S153" s="70">
        <v>46241</v>
      </c>
      <c r="T153" s="54" t="s">
        <v>107</v>
      </c>
      <c r="U153" s="54"/>
      <c r="V153" s="54">
        <v>1</v>
      </c>
      <c r="W153" s="54"/>
      <c r="X153" s="54" t="s">
        <v>750</v>
      </c>
      <c r="Y153" s="54"/>
      <c r="Z153" s="54"/>
      <c r="AA153" s="54"/>
      <c r="AB153" s="54" t="s">
        <v>867</v>
      </c>
    </row>
    <row r="154" spans="1:28" x14ac:dyDescent="0.3">
      <c r="A154" s="54">
        <v>153</v>
      </c>
      <c r="B154" s="54" t="s">
        <v>875</v>
      </c>
      <c r="C154" s="54" t="s">
        <v>65</v>
      </c>
      <c r="D154" s="54" t="s">
        <v>868</v>
      </c>
      <c r="E154" s="54" t="s">
        <v>101</v>
      </c>
      <c r="F154" s="54" t="s">
        <v>869</v>
      </c>
      <c r="G154" s="54" t="s">
        <v>747</v>
      </c>
      <c r="H154" s="54">
        <v>1</v>
      </c>
      <c r="I154" s="54">
        <v>1</v>
      </c>
      <c r="J154" s="54">
        <v>1</v>
      </c>
      <c r="K154" s="54">
        <v>1.4</v>
      </c>
      <c r="L154" s="54">
        <v>1</v>
      </c>
      <c r="M154" s="54">
        <v>1.4</v>
      </c>
      <c r="N154" s="54" t="s">
        <v>107</v>
      </c>
      <c r="O154" s="54" t="s">
        <v>77</v>
      </c>
      <c r="P154" s="54">
        <v>140</v>
      </c>
      <c r="Q154" s="54">
        <v>140</v>
      </c>
      <c r="R154" s="54"/>
      <c r="S154" s="70">
        <v>46241</v>
      </c>
      <c r="T154" s="54" t="s">
        <v>107</v>
      </c>
      <c r="U154" s="54"/>
      <c r="V154" s="54">
        <v>1</v>
      </c>
      <c r="W154" s="54"/>
      <c r="X154" s="54" t="s">
        <v>750</v>
      </c>
      <c r="Y154" s="54"/>
      <c r="Z154" s="54" t="s">
        <v>870</v>
      </c>
      <c r="AA154" s="54"/>
      <c r="AB154" s="54" t="s">
        <v>871</v>
      </c>
    </row>
    <row r="155" spans="1:28" x14ac:dyDescent="0.3">
      <c r="A155" s="54">
        <v>154</v>
      </c>
      <c r="B155" s="54" t="s">
        <v>740</v>
      </c>
      <c r="C155" s="54" t="s">
        <v>104</v>
      </c>
      <c r="D155" s="54" t="s">
        <v>513</v>
      </c>
      <c r="E155" s="54" t="s">
        <v>75</v>
      </c>
      <c r="F155" s="54" t="s">
        <v>514</v>
      </c>
      <c r="G155" s="54" t="s">
        <v>486</v>
      </c>
      <c r="H155" s="54">
        <v>6</v>
      </c>
      <c r="I155" s="54">
        <v>1</v>
      </c>
      <c r="J155" s="54">
        <v>0.5</v>
      </c>
      <c r="K155" s="54">
        <v>0.49</v>
      </c>
      <c r="L155" s="54">
        <v>0.5</v>
      </c>
      <c r="M155" s="54">
        <v>0.49</v>
      </c>
      <c r="N155" s="54" t="s">
        <v>69</v>
      </c>
      <c r="O155" s="54" t="s">
        <v>77</v>
      </c>
      <c r="P155" s="54">
        <v>98</v>
      </c>
      <c r="Q155" s="54">
        <v>98</v>
      </c>
      <c r="R155" s="70">
        <v>46234</v>
      </c>
      <c r="S155" s="70">
        <v>46239</v>
      </c>
      <c r="T155" s="54" t="s">
        <v>97</v>
      </c>
      <c r="U155" s="54"/>
      <c r="V155" s="54"/>
      <c r="W155" s="54"/>
      <c r="X155" s="54" t="s">
        <v>499</v>
      </c>
      <c r="Y155" s="54"/>
      <c r="Z155" s="54"/>
      <c r="AA155" s="54"/>
      <c r="AB155" s="54" t="s">
        <v>515</v>
      </c>
    </row>
    <row r="156" spans="1:28" x14ac:dyDescent="0.3">
      <c r="A156" s="54">
        <v>155</v>
      </c>
      <c r="B156" s="54" t="s">
        <v>740</v>
      </c>
      <c r="C156" s="54" t="s">
        <v>545</v>
      </c>
      <c r="D156" s="54" t="s">
        <v>546</v>
      </c>
      <c r="E156" s="54" t="s">
        <v>75</v>
      </c>
      <c r="F156" s="54" t="s">
        <v>547</v>
      </c>
      <c r="G156" s="54" t="s">
        <v>486</v>
      </c>
      <c r="H156" s="54">
        <v>88</v>
      </c>
      <c r="I156" s="54">
        <v>1</v>
      </c>
      <c r="J156" s="54">
        <v>1</v>
      </c>
      <c r="K156" s="54">
        <v>1.17</v>
      </c>
      <c r="L156" s="54"/>
      <c r="M156" s="54"/>
      <c r="N156" s="54" t="s">
        <v>69</v>
      </c>
      <c r="O156" s="54" t="s">
        <v>77</v>
      </c>
      <c r="P156" s="54">
        <v>117</v>
      </c>
      <c r="Q156" s="54"/>
      <c r="R156" s="70">
        <v>46153</v>
      </c>
      <c r="S156" s="70">
        <v>46227</v>
      </c>
      <c r="T156" s="54" t="s">
        <v>69</v>
      </c>
      <c r="U156" s="54"/>
      <c r="V156" s="54"/>
      <c r="W156" s="54"/>
      <c r="X156" s="54" t="s">
        <v>499</v>
      </c>
      <c r="Y156" s="54">
        <v>1</v>
      </c>
      <c r="Z156" s="54" t="s">
        <v>548</v>
      </c>
      <c r="AA156" s="54" t="s">
        <v>525</v>
      </c>
      <c r="AB156" s="54" t="s">
        <v>549</v>
      </c>
    </row>
    <row r="157" spans="1:28" x14ac:dyDescent="0.3">
      <c r="A157" s="54">
        <v>156</v>
      </c>
      <c r="B157" s="54" t="s">
        <v>740</v>
      </c>
      <c r="C157" s="54" t="s">
        <v>104</v>
      </c>
      <c r="D157" s="54" t="s">
        <v>612</v>
      </c>
      <c r="E157" s="54" t="s">
        <v>75</v>
      </c>
      <c r="F157" s="54" t="s">
        <v>613</v>
      </c>
      <c r="G157" s="54" t="s">
        <v>486</v>
      </c>
      <c r="H157" s="54">
        <v>6</v>
      </c>
      <c r="I157" s="54">
        <v>1</v>
      </c>
      <c r="J157" s="54">
        <v>3.5</v>
      </c>
      <c r="K157" s="54">
        <v>2.99</v>
      </c>
      <c r="L157" s="54">
        <v>1.55</v>
      </c>
      <c r="M157" s="54">
        <v>1.04</v>
      </c>
      <c r="N157" s="54" t="s">
        <v>83</v>
      </c>
      <c r="O157" s="54" t="s">
        <v>77</v>
      </c>
      <c r="P157" s="54">
        <v>85.43</v>
      </c>
      <c r="Q157" s="54">
        <v>67.099999999999994</v>
      </c>
      <c r="R157" s="54"/>
      <c r="S157" s="70">
        <v>46235</v>
      </c>
      <c r="T157" s="54" t="s">
        <v>97</v>
      </c>
      <c r="U157" s="54"/>
      <c r="V157" s="54">
        <v>1</v>
      </c>
      <c r="W157" s="54"/>
      <c r="X157" s="54" t="s">
        <v>499</v>
      </c>
      <c r="Y157" s="54"/>
      <c r="Z157" s="54"/>
      <c r="AA157" s="54"/>
      <c r="AB157" s="54" t="s">
        <v>614</v>
      </c>
    </row>
    <row r="158" spans="1:28" x14ac:dyDescent="0.3">
      <c r="A158" s="54">
        <v>157</v>
      </c>
      <c r="B158" s="54" t="s">
        <v>740</v>
      </c>
      <c r="C158" s="54" t="s">
        <v>73</v>
      </c>
      <c r="D158" s="54" t="s">
        <v>692</v>
      </c>
      <c r="E158" s="54" t="s">
        <v>75</v>
      </c>
      <c r="F158" s="54" t="s">
        <v>693</v>
      </c>
      <c r="G158" s="54" t="s">
        <v>486</v>
      </c>
      <c r="H158" s="54">
        <v>1</v>
      </c>
      <c r="I158" s="54">
        <v>1</v>
      </c>
      <c r="J158" s="54">
        <v>0.5</v>
      </c>
      <c r="K158" s="54">
        <v>0.24</v>
      </c>
      <c r="L158" s="54">
        <v>0.5</v>
      </c>
      <c r="M158" s="54">
        <v>0.24</v>
      </c>
      <c r="N158" s="54" t="s">
        <v>69</v>
      </c>
      <c r="O158" s="54" t="s">
        <v>77</v>
      </c>
      <c r="P158" s="54">
        <v>48</v>
      </c>
      <c r="Q158" s="54">
        <v>48</v>
      </c>
      <c r="R158" s="54"/>
      <c r="S158" s="70">
        <v>46241</v>
      </c>
      <c r="T158" s="54" t="s">
        <v>69</v>
      </c>
      <c r="U158" s="54"/>
      <c r="V158" s="54"/>
      <c r="W158" s="54"/>
      <c r="X158" s="54" t="s">
        <v>499</v>
      </c>
      <c r="Y158" s="54"/>
      <c r="Z158" s="54"/>
      <c r="AA158" s="54" t="s">
        <v>694</v>
      </c>
      <c r="AB158" s="54" t="s">
        <v>695</v>
      </c>
    </row>
    <row r="159" spans="1:28" x14ac:dyDescent="0.3">
      <c r="A159" s="54">
        <v>158</v>
      </c>
      <c r="B159" s="54" t="s">
        <v>740</v>
      </c>
      <c r="C159" s="54" t="s">
        <v>73</v>
      </c>
      <c r="D159" s="54" t="s">
        <v>696</v>
      </c>
      <c r="E159" s="54" t="s">
        <v>75</v>
      </c>
      <c r="F159" s="54" t="s">
        <v>697</v>
      </c>
      <c r="G159" s="54" t="s">
        <v>486</v>
      </c>
      <c r="H159" s="54">
        <v>1</v>
      </c>
      <c r="I159" s="54">
        <v>1</v>
      </c>
      <c r="J159" s="54">
        <v>1.5</v>
      </c>
      <c r="K159" s="54">
        <v>0.28999999999999998</v>
      </c>
      <c r="L159" s="54">
        <v>1.5</v>
      </c>
      <c r="M159" s="54">
        <v>0.28999999999999998</v>
      </c>
      <c r="N159" s="54" t="s">
        <v>69</v>
      </c>
      <c r="O159" s="54" t="s">
        <v>77</v>
      </c>
      <c r="P159" s="54">
        <v>19.329999999999998</v>
      </c>
      <c r="Q159" s="54">
        <v>19.329999999999998</v>
      </c>
      <c r="R159" s="54"/>
      <c r="S159" s="70">
        <v>46241</v>
      </c>
      <c r="T159" s="54" t="s">
        <v>69</v>
      </c>
      <c r="U159" s="54"/>
      <c r="V159" s="54"/>
      <c r="W159" s="54"/>
      <c r="X159" s="54" t="s">
        <v>499</v>
      </c>
      <c r="Y159" s="54"/>
      <c r="Z159" s="54"/>
      <c r="AA159" s="54" t="s">
        <v>694</v>
      </c>
      <c r="AB159" s="54"/>
    </row>
    <row r="160" spans="1:28" x14ac:dyDescent="0.3">
      <c r="A160" s="54">
        <v>159</v>
      </c>
      <c r="B160" s="54" t="s">
        <v>740</v>
      </c>
      <c r="C160" s="54" t="s">
        <v>73</v>
      </c>
      <c r="D160" s="54" t="s">
        <v>698</v>
      </c>
      <c r="E160" s="54" t="s">
        <v>75</v>
      </c>
      <c r="F160" s="54" t="s">
        <v>699</v>
      </c>
      <c r="G160" s="54" t="s">
        <v>486</v>
      </c>
      <c r="H160" s="54">
        <v>1</v>
      </c>
      <c r="I160" s="54">
        <v>1</v>
      </c>
      <c r="J160" s="54">
        <v>0.5</v>
      </c>
      <c r="K160" s="54">
        <v>0.38</v>
      </c>
      <c r="L160" s="54">
        <v>0.5</v>
      </c>
      <c r="M160" s="54">
        <v>0.38</v>
      </c>
      <c r="N160" s="54" t="s">
        <v>69</v>
      </c>
      <c r="O160" s="54" t="s">
        <v>77</v>
      </c>
      <c r="P160" s="54">
        <v>76</v>
      </c>
      <c r="Q160" s="54">
        <v>76</v>
      </c>
      <c r="R160" s="54"/>
      <c r="S160" s="70">
        <v>46241</v>
      </c>
      <c r="T160" s="54" t="s">
        <v>69</v>
      </c>
      <c r="U160" s="54"/>
      <c r="V160" s="54">
        <v>1</v>
      </c>
      <c r="W160" s="54"/>
      <c r="X160" s="54" t="s">
        <v>499</v>
      </c>
      <c r="Y160" s="54"/>
      <c r="Z160" s="54"/>
      <c r="AA160" s="54" t="s">
        <v>700</v>
      </c>
      <c r="AB160" s="54"/>
    </row>
    <row r="161" spans="1:28" x14ac:dyDescent="0.3">
      <c r="A161" s="54">
        <v>160</v>
      </c>
      <c r="B161" s="54" t="s">
        <v>740</v>
      </c>
      <c r="C161" s="54" t="s">
        <v>104</v>
      </c>
      <c r="D161" s="54" t="s">
        <v>489</v>
      </c>
      <c r="E161" s="54" t="s">
        <v>490</v>
      </c>
      <c r="F161" s="54" t="s">
        <v>491</v>
      </c>
      <c r="G161" s="54" t="s">
        <v>488</v>
      </c>
      <c r="H161" s="54">
        <v>7</v>
      </c>
      <c r="I161" s="54">
        <v>1</v>
      </c>
      <c r="J161" s="54">
        <v>0.5</v>
      </c>
      <c r="K161" s="54"/>
      <c r="L161" s="54">
        <v>0.5</v>
      </c>
      <c r="M161" s="54"/>
      <c r="N161" s="54" t="s">
        <v>69</v>
      </c>
      <c r="O161" s="54" t="s">
        <v>77</v>
      </c>
      <c r="P161" s="54"/>
      <c r="Q161" s="54"/>
      <c r="R161" s="70">
        <v>46234</v>
      </c>
      <c r="S161" s="70">
        <v>46234</v>
      </c>
      <c r="T161" s="54" t="s">
        <v>69</v>
      </c>
      <c r="U161" s="54"/>
      <c r="V161" s="54"/>
      <c r="W161" s="54"/>
      <c r="X161" s="54" t="s">
        <v>492</v>
      </c>
      <c r="Y161" s="54"/>
      <c r="Z161" s="54"/>
      <c r="AA161" s="54"/>
      <c r="AB161" s="54"/>
    </row>
    <row r="162" spans="1:28" x14ac:dyDescent="0.3">
      <c r="A162" s="54">
        <v>161</v>
      </c>
      <c r="B162" s="54" t="s">
        <v>740</v>
      </c>
      <c r="C162" s="54" t="s">
        <v>104</v>
      </c>
      <c r="D162" s="54" t="s">
        <v>493</v>
      </c>
      <c r="E162" s="54" t="s">
        <v>490</v>
      </c>
      <c r="F162" s="54" t="s">
        <v>494</v>
      </c>
      <c r="G162" s="54" t="s">
        <v>488</v>
      </c>
      <c r="H162" s="54">
        <v>9</v>
      </c>
      <c r="I162" s="54">
        <v>1</v>
      </c>
      <c r="J162" s="54">
        <v>1</v>
      </c>
      <c r="K162" s="54">
        <v>1.81</v>
      </c>
      <c r="L162" s="54">
        <v>0.01</v>
      </c>
      <c r="M162" s="54"/>
      <c r="N162" s="54" t="s">
        <v>69</v>
      </c>
      <c r="O162" s="54" t="s">
        <v>77</v>
      </c>
      <c r="P162" s="54">
        <v>181</v>
      </c>
      <c r="Q162" s="54"/>
      <c r="R162" s="70">
        <v>46232</v>
      </c>
      <c r="S162" s="70">
        <v>46233</v>
      </c>
      <c r="T162" s="54" t="s">
        <v>69</v>
      </c>
      <c r="U162" s="54"/>
      <c r="V162" s="54"/>
      <c r="W162" s="54"/>
      <c r="X162" s="54" t="s">
        <v>492</v>
      </c>
      <c r="Y162" s="54"/>
      <c r="Z162" s="54"/>
      <c r="AA162" s="54"/>
      <c r="AB162" s="54"/>
    </row>
    <row r="163" spans="1:28" x14ac:dyDescent="0.3">
      <c r="A163" s="54">
        <v>162</v>
      </c>
      <c r="B163" s="54" t="s">
        <v>740</v>
      </c>
      <c r="C163" s="54" t="s">
        <v>104</v>
      </c>
      <c r="D163" s="54" t="s">
        <v>495</v>
      </c>
      <c r="E163" s="54" t="s">
        <v>490</v>
      </c>
      <c r="F163" s="54" t="s">
        <v>496</v>
      </c>
      <c r="G163" s="54" t="s">
        <v>488</v>
      </c>
      <c r="H163" s="54">
        <v>14</v>
      </c>
      <c r="I163" s="54">
        <v>1</v>
      </c>
      <c r="J163" s="54">
        <v>1</v>
      </c>
      <c r="K163" s="54">
        <v>3.95</v>
      </c>
      <c r="L163" s="54"/>
      <c r="M163" s="54"/>
      <c r="N163" s="54" t="s">
        <v>69</v>
      </c>
      <c r="O163" s="54" t="s">
        <v>77</v>
      </c>
      <c r="P163" s="54">
        <v>395</v>
      </c>
      <c r="Q163" s="54"/>
      <c r="R163" s="70">
        <v>46227</v>
      </c>
      <c r="S163" s="70">
        <v>46234</v>
      </c>
      <c r="T163" s="54" t="s">
        <v>69</v>
      </c>
      <c r="U163" s="54"/>
      <c r="V163" s="54"/>
      <c r="W163" s="54"/>
      <c r="X163" s="54" t="s">
        <v>492</v>
      </c>
      <c r="Y163" s="54"/>
      <c r="Z163" s="54"/>
      <c r="AA163" s="54"/>
      <c r="AB163" s="54"/>
    </row>
    <row r="164" spans="1:28" x14ac:dyDescent="0.3">
      <c r="A164" s="54">
        <v>163</v>
      </c>
      <c r="B164" s="54" t="s">
        <v>740</v>
      </c>
      <c r="C164" s="54" t="s">
        <v>90</v>
      </c>
      <c r="D164" s="54" t="s">
        <v>497</v>
      </c>
      <c r="E164" s="54" t="s">
        <v>101</v>
      </c>
      <c r="F164" s="54" t="s">
        <v>498</v>
      </c>
      <c r="G164" s="54" t="s">
        <v>486</v>
      </c>
      <c r="H164" s="54">
        <v>7</v>
      </c>
      <c r="I164" s="54">
        <v>1</v>
      </c>
      <c r="J164" s="54">
        <v>0.75</v>
      </c>
      <c r="K164" s="54">
        <v>0.81</v>
      </c>
      <c r="L164" s="54">
        <v>0.75</v>
      </c>
      <c r="M164" s="54">
        <v>0.81</v>
      </c>
      <c r="N164" s="54" t="s">
        <v>69</v>
      </c>
      <c r="O164" s="54" t="s">
        <v>77</v>
      </c>
      <c r="P164" s="54">
        <v>108</v>
      </c>
      <c r="Q164" s="54">
        <v>108</v>
      </c>
      <c r="R164" s="70">
        <v>46234</v>
      </c>
      <c r="S164" s="70">
        <v>46241</v>
      </c>
      <c r="T164" s="54" t="s">
        <v>97</v>
      </c>
      <c r="U164" s="54"/>
      <c r="V164" s="54"/>
      <c r="W164" s="54"/>
      <c r="X164" s="54" t="s">
        <v>499</v>
      </c>
      <c r="Y164" s="54"/>
      <c r="Z164" s="54"/>
      <c r="AA164" s="54" t="s">
        <v>500</v>
      </c>
      <c r="AB164" s="54" t="s">
        <v>501</v>
      </c>
    </row>
    <row r="165" spans="1:28" x14ac:dyDescent="0.3">
      <c r="A165" s="54">
        <v>164</v>
      </c>
      <c r="B165" s="54" t="s">
        <v>740</v>
      </c>
      <c r="C165" s="54" t="s">
        <v>104</v>
      </c>
      <c r="D165" s="54" t="s">
        <v>502</v>
      </c>
      <c r="E165" s="54" t="s">
        <v>101</v>
      </c>
      <c r="F165" s="54" t="s">
        <v>503</v>
      </c>
      <c r="G165" s="54" t="s">
        <v>486</v>
      </c>
      <c r="H165" s="54">
        <v>6</v>
      </c>
      <c r="I165" s="54">
        <v>1</v>
      </c>
      <c r="J165" s="54">
        <v>0.25</v>
      </c>
      <c r="K165" s="54">
        <v>0.19</v>
      </c>
      <c r="L165" s="54">
        <v>0.25</v>
      </c>
      <c r="M165" s="54"/>
      <c r="N165" s="54" t="s">
        <v>69</v>
      </c>
      <c r="O165" s="54" t="s">
        <v>77</v>
      </c>
      <c r="P165" s="54">
        <v>76</v>
      </c>
      <c r="Q165" s="54"/>
      <c r="R165" s="70">
        <v>46234</v>
      </c>
      <c r="S165" s="70">
        <v>46234</v>
      </c>
      <c r="T165" s="54" t="s">
        <v>97</v>
      </c>
      <c r="U165" s="54"/>
      <c r="V165" s="54"/>
      <c r="W165" s="54"/>
      <c r="X165" s="54" t="s">
        <v>499</v>
      </c>
      <c r="Y165" s="54"/>
      <c r="Z165" s="54"/>
      <c r="AA165" s="54"/>
      <c r="AB165" s="54" t="s">
        <v>504</v>
      </c>
    </row>
    <row r="166" spans="1:28" x14ac:dyDescent="0.3">
      <c r="A166" s="54">
        <v>165</v>
      </c>
      <c r="B166" s="54" t="s">
        <v>740</v>
      </c>
      <c r="C166" s="54" t="s">
        <v>104</v>
      </c>
      <c r="D166" s="54" t="s">
        <v>505</v>
      </c>
      <c r="E166" s="54" t="s">
        <v>101</v>
      </c>
      <c r="F166" s="54" t="s">
        <v>506</v>
      </c>
      <c r="G166" s="54" t="s">
        <v>486</v>
      </c>
      <c r="H166" s="54">
        <v>6</v>
      </c>
      <c r="I166" s="54">
        <v>1</v>
      </c>
      <c r="J166" s="54">
        <v>0.5</v>
      </c>
      <c r="K166" s="54">
        <v>0.09</v>
      </c>
      <c r="L166" s="54">
        <v>0.5</v>
      </c>
      <c r="M166" s="54">
        <v>0.09</v>
      </c>
      <c r="N166" s="54" t="s">
        <v>69</v>
      </c>
      <c r="O166" s="54" t="s">
        <v>77</v>
      </c>
      <c r="P166" s="54">
        <v>18</v>
      </c>
      <c r="Q166" s="54">
        <v>18</v>
      </c>
      <c r="R166" s="70">
        <v>46234</v>
      </c>
      <c r="S166" s="70">
        <v>46239</v>
      </c>
      <c r="T166" s="54" t="s">
        <v>97</v>
      </c>
      <c r="U166" s="54"/>
      <c r="V166" s="54"/>
      <c r="W166" s="54"/>
      <c r="X166" s="54" t="s">
        <v>499</v>
      </c>
      <c r="Y166" s="54"/>
      <c r="Z166" s="54"/>
      <c r="AA166" s="54"/>
      <c r="AB166" s="54" t="s">
        <v>507</v>
      </c>
    </row>
    <row r="167" spans="1:28" x14ac:dyDescent="0.3">
      <c r="A167" s="54">
        <v>166</v>
      </c>
      <c r="B167" s="54" t="s">
        <v>740</v>
      </c>
      <c r="C167" s="54" t="s">
        <v>508</v>
      </c>
      <c r="D167" s="54" t="s">
        <v>509</v>
      </c>
      <c r="E167" s="54" t="s">
        <v>101</v>
      </c>
      <c r="F167" s="54" t="s">
        <v>510</v>
      </c>
      <c r="G167" s="54" t="s">
        <v>486</v>
      </c>
      <c r="H167" s="54">
        <v>6</v>
      </c>
      <c r="I167" s="54">
        <v>1</v>
      </c>
      <c r="J167" s="54">
        <v>0.5</v>
      </c>
      <c r="K167" s="54">
        <v>0.66</v>
      </c>
      <c r="L167" s="54">
        <v>0.5</v>
      </c>
      <c r="M167" s="54">
        <v>0.66</v>
      </c>
      <c r="N167" s="54" t="s">
        <v>69</v>
      </c>
      <c r="O167" s="54" t="s">
        <v>77</v>
      </c>
      <c r="P167" s="54">
        <v>132</v>
      </c>
      <c r="Q167" s="54">
        <v>132</v>
      </c>
      <c r="R167" s="70">
        <v>46234</v>
      </c>
      <c r="S167" s="70">
        <v>46239</v>
      </c>
      <c r="T167" s="54" t="s">
        <v>97</v>
      </c>
      <c r="U167" s="54"/>
      <c r="V167" s="54"/>
      <c r="W167" s="54"/>
      <c r="X167" s="54" t="s">
        <v>499</v>
      </c>
      <c r="Y167" s="54"/>
      <c r="Z167" s="54" t="s">
        <v>511</v>
      </c>
      <c r="AA167" s="54"/>
      <c r="AB167" s="54" t="s">
        <v>512</v>
      </c>
    </row>
    <row r="168" spans="1:28" x14ac:dyDescent="0.3">
      <c r="A168" s="54">
        <v>167</v>
      </c>
      <c r="B168" s="54" t="s">
        <v>740</v>
      </c>
      <c r="C168" s="54" t="s">
        <v>508</v>
      </c>
      <c r="D168" s="54" t="s">
        <v>704</v>
      </c>
      <c r="E168" s="54" t="s">
        <v>75</v>
      </c>
      <c r="F168" s="54" t="s">
        <v>705</v>
      </c>
      <c r="G168" s="54" t="s">
        <v>486</v>
      </c>
      <c r="H168" s="54">
        <v>0</v>
      </c>
      <c r="I168" s="54">
        <v>1</v>
      </c>
      <c r="J168" s="54">
        <v>0.5</v>
      </c>
      <c r="K168" s="54">
        <v>0.38</v>
      </c>
      <c r="L168" s="54">
        <v>0.5</v>
      </c>
      <c r="M168" s="54">
        <v>0.38</v>
      </c>
      <c r="N168" s="54" t="s">
        <v>83</v>
      </c>
      <c r="O168" s="54" t="s">
        <v>257</v>
      </c>
      <c r="P168" s="54">
        <v>76</v>
      </c>
      <c r="Q168" s="54">
        <v>76</v>
      </c>
      <c r="R168" s="54"/>
      <c r="S168" s="70">
        <v>46240</v>
      </c>
      <c r="T168" s="54" t="s">
        <v>97</v>
      </c>
      <c r="U168" s="54"/>
      <c r="V168" s="54">
        <v>1</v>
      </c>
      <c r="W168" s="54"/>
      <c r="X168" s="54" t="s">
        <v>499</v>
      </c>
      <c r="Y168" s="54"/>
      <c r="Z168" s="54"/>
      <c r="AA168" s="54"/>
      <c r="AB168" s="54" t="s">
        <v>706</v>
      </c>
    </row>
    <row r="169" spans="1:28" x14ac:dyDescent="0.3">
      <c r="A169" s="54">
        <v>168</v>
      </c>
      <c r="B169" s="54" t="s">
        <v>740</v>
      </c>
      <c r="C169" s="54" t="s">
        <v>90</v>
      </c>
      <c r="D169" s="54" t="s">
        <v>516</v>
      </c>
      <c r="E169" s="54" t="s">
        <v>101</v>
      </c>
      <c r="F169" s="54" t="s">
        <v>517</v>
      </c>
      <c r="G169" s="54" t="s">
        <v>486</v>
      </c>
      <c r="H169" s="54">
        <v>6</v>
      </c>
      <c r="I169" s="54">
        <v>1</v>
      </c>
      <c r="J169" s="54">
        <v>0.5</v>
      </c>
      <c r="K169" s="54"/>
      <c r="L169" s="54">
        <v>0.5</v>
      </c>
      <c r="M169" s="54"/>
      <c r="N169" s="54" t="s">
        <v>69</v>
      </c>
      <c r="O169" s="54" t="s">
        <v>77</v>
      </c>
      <c r="P169" s="54"/>
      <c r="Q169" s="54"/>
      <c r="R169" s="70">
        <v>46233</v>
      </c>
      <c r="S169" s="54"/>
      <c r="T169" s="54" t="s">
        <v>518</v>
      </c>
      <c r="U169" s="54"/>
      <c r="V169" s="54"/>
      <c r="W169" s="54"/>
      <c r="X169" s="54" t="s">
        <v>499</v>
      </c>
      <c r="Y169" s="54"/>
      <c r="Z169" s="54"/>
      <c r="AA169" s="54"/>
      <c r="AB169" s="54"/>
    </row>
    <row r="170" spans="1:28" x14ac:dyDescent="0.3">
      <c r="A170" s="54">
        <v>169</v>
      </c>
      <c r="B170" s="54" t="s">
        <v>740</v>
      </c>
      <c r="C170" s="54" t="s">
        <v>104</v>
      </c>
      <c r="D170" s="54" t="s">
        <v>519</v>
      </c>
      <c r="E170" s="54" t="s">
        <v>101</v>
      </c>
      <c r="F170" s="54" t="s">
        <v>520</v>
      </c>
      <c r="G170" s="54" t="s">
        <v>486</v>
      </c>
      <c r="H170" s="54">
        <v>8</v>
      </c>
      <c r="I170" s="54">
        <v>1</v>
      </c>
      <c r="J170" s="54">
        <v>0.5</v>
      </c>
      <c r="K170" s="54">
        <v>1.1399999999999999</v>
      </c>
      <c r="L170" s="54">
        <v>0.5</v>
      </c>
      <c r="M170" s="54">
        <v>1.1399999999999999</v>
      </c>
      <c r="N170" s="54" t="s">
        <v>69</v>
      </c>
      <c r="O170" s="54" t="s">
        <v>77</v>
      </c>
      <c r="P170" s="54">
        <v>228</v>
      </c>
      <c r="Q170" s="54">
        <v>228</v>
      </c>
      <c r="R170" s="70">
        <v>46232</v>
      </c>
      <c r="S170" s="70">
        <v>46240</v>
      </c>
      <c r="T170" s="54" t="s">
        <v>97</v>
      </c>
      <c r="U170" s="54"/>
      <c r="V170" s="54"/>
      <c r="W170" s="54"/>
      <c r="X170" s="54" t="s">
        <v>499</v>
      </c>
      <c r="Y170" s="54"/>
      <c r="Z170" s="54" t="s">
        <v>521</v>
      </c>
      <c r="AA170" s="54"/>
      <c r="AB170" s="54" t="s">
        <v>522</v>
      </c>
    </row>
    <row r="171" spans="1:28" x14ac:dyDescent="0.3">
      <c r="A171" s="54">
        <v>170</v>
      </c>
      <c r="B171" s="54" t="s">
        <v>740</v>
      </c>
      <c r="C171" s="54" t="s">
        <v>65</v>
      </c>
      <c r="D171" s="54" t="s">
        <v>523</v>
      </c>
      <c r="E171" s="54" t="s">
        <v>101</v>
      </c>
      <c r="F171" s="54" t="s">
        <v>524</v>
      </c>
      <c r="G171" s="54" t="s">
        <v>486</v>
      </c>
      <c r="H171" s="54">
        <v>10</v>
      </c>
      <c r="I171" s="54">
        <v>1</v>
      </c>
      <c r="J171" s="54">
        <v>3</v>
      </c>
      <c r="K171" s="54"/>
      <c r="L171" s="54">
        <v>3</v>
      </c>
      <c r="M171" s="54"/>
      <c r="N171" s="54" t="s">
        <v>69</v>
      </c>
      <c r="O171" s="54" t="s">
        <v>82</v>
      </c>
      <c r="P171" s="54"/>
      <c r="Q171" s="54"/>
      <c r="R171" s="70">
        <v>46231</v>
      </c>
      <c r="S171" s="70">
        <v>46233</v>
      </c>
      <c r="T171" s="54" t="s">
        <v>69</v>
      </c>
      <c r="U171" s="54"/>
      <c r="V171" s="54"/>
      <c r="W171" s="54"/>
      <c r="X171" s="54" t="s">
        <v>499</v>
      </c>
      <c r="Y171" s="54"/>
      <c r="Z171" s="54"/>
      <c r="AA171" s="54" t="s">
        <v>525</v>
      </c>
      <c r="AB171" s="54"/>
    </row>
    <row r="172" spans="1:28" x14ac:dyDescent="0.3">
      <c r="A172" s="54">
        <v>171</v>
      </c>
      <c r="B172" s="54" t="s">
        <v>740</v>
      </c>
      <c r="C172" s="54" t="s">
        <v>526</v>
      </c>
      <c r="D172" s="54" t="s">
        <v>527</v>
      </c>
      <c r="E172" s="54" t="s">
        <v>101</v>
      </c>
      <c r="F172" s="54" t="s">
        <v>528</v>
      </c>
      <c r="G172" s="54" t="s">
        <v>486</v>
      </c>
      <c r="H172" s="54">
        <v>15</v>
      </c>
      <c r="I172" s="54">
        <v>1</v>
      </c>
      <c r="J172" s="54">
        <v>2</v>
      </c>
      <c r="K172" s="54">
        <v>0.47</v>
      </c>
      <c r="L172" s="54">
        <v>2</v>
      </c>
      <c r="M172" s="54">
        <v>1.39</v>
      </c>
      <c r="N172" s="54" t="s">
        <v>69</v>
      </c>
      <c r="O172" s="54" t="s">
        <v>82</v>
      </c>
      <c r="P172" s="54">
        <v>23.5</v>
      </c>
      <c r="Q172" s="54">
        <v>69.5</v>
      </c>
      <c r="R172" s="70">
        <v>46226</v>
      </c>
      <c r="S172" s="70">
        <v>46241</v>
      </c>
      <c r="T172" s="54" t="s">
        <v>69</v>
      </c>
      <c r="U172" s="54"/>
      <c r="V172" s="54"/>
      <c r="W172" s="54"/>
      <c r="X172" s="54" t="s">
        <v>499</v>
      </c>
      <c r="Y172" s="54"/>
      <c r="Z172" s="54"/>
      <c r="AA172" s="54" t="s">
        <v>529</v>
      </c>
      <c r="AB172" s="54" t="s">
        <v>530</v>
      </c>
    </row>
    <row r="173" spans="1:28" x14ac:dyDescent="0.3">
      <c r="A173" s="54">
        <v>172</v>
      </c>
      <c r="B173" s="54" t="s">
        <v>740</v>
      </c>
      <c r="C173" s="54" t="s">
        <v>104</v>
      </c>
      <c r="D173" s="54" t="s">
        <v>531</v>
      </c>
      <c r="E173" s="54" t="s">
        <v>101</v>
      </c>
      <c r="F173" s="54" t="s">
        <v>532</v>
      </c>
      <c r="G173" s="54" t="s">
        <v>486</v>
      </c>
      <c r="H173" s="54">
        <v>17</v>
      </c>
      <c r="I173" s="54">
        <v>1</v>
      </c>
      <c r="J173" s="54">
        <v>2</v>
      </c>
      <c r="K173" s="54">
        <v>3.7</v>
      </c>
      <c r="L173" s="54"/>
      <c r="M173" s="54">
        <v>1.05</v>
      </c>
      <c r="N173" s="54" t="s">
        <v>69</v>
      </c>
      <c r="O173" s="54" t="s">
        <v>82</v>
      </c>
      <c r="P173" s="54">
        <v>185</v>
      </c>
      <c r="Q173" s="54"/>
      <c r="R173" s="70">
        <v>46224</v>
      </c>
      <c r="S173" s="70">
        <v>46239</v>
      </c>
      <c r="T173" s="54" t="s">
        <v>107</v>
      </c>
      <c r="U173" s="54"/>
      <c r="V173" s="54"/>
      <c r="W173" s="54"/>
      <c r="X173" s="54" t="s">
        <v>499</v>
      </c>
      <c r="Y173" s="54"/>
      <c r="Z173" s="54" t="s">
        <v>533</v>
      </c>
      <c r="AA173" s="54"/>
      <c r="AB173" s="54" t="s">
        <v>534</v>
      </c>
    </row>
    <row r="174" spans="1:28" x14ac:dyDescent="0.3">
      <c r="A174" s="54">
        <v>173</v>
      </c>
      <c r="B174" s="54" t="s">
        <v>740</v>
      </c>
      <c r="C174" s="54" t="s">
        <v>90</v>
      </c>
      <c r="D174" s="54" t="s">
        <v>535</v>
      </c>
      <c r="E174" s="54" t="s">
        <v>80</v>
      </c>
      <c r="F174" s="54" t="s">
        <v>536</v>
      </c>
      <c r="G174" s="54" t="s">
        <v>486</v>
      </c>
      <c r="H174" s="54">
        <v>21</v>
      </c>
      <c r="I174" s="54">
        <v>1</v>
      </c>
      <c r="J174" s="54">
        <v>4</v>
      </c>
      <c r="K174" s="54">
        <v>3.96</v>
      </c>
      <c r="L174" s="54">
        <v>0.04</v>
      </c>
      <c r="M174" s="54"/>
      <c r="N174" s="54" t="s">
        <v>69</v>
      </c>
      <c r="O174" s="54" t="s">
        <v>257</v>
      </c>
      <c r="P174" s="54">
        <v>99</v>
      </c>
      <c r="Q174" s="54"/>
      <c r="R174" s="70">
        <v>46220</v>
      </c>
      <c r="S174" s="70">
        <v>46221</v>
      </c>
      <c r="T174" s="54" t="s">
        <v>69</v>
      </c>
      <c r="U174" s="54"/>
      <c r="V174" s="54"/>
      <c r="W174" s="54"/>
      <c r="X174" s="54" t="s">
        <v>499</v>
      </c>
      <c r="Y174" s="54"/>
      <c r="Z174" s="54"/>
      <c r="AA174" s="54" t="s">
        <v>537</v>
      </c>
      <c r="AB174" s="54"/>
    </row>
    <row r="175" spans="1:28" x14ac:dyDescent="0.3">
      <c r="A175" s="54">
        <v>174</v>
      </c>
      <c r="B175" s="54" t="s">
        <v>740</v>
      </c>
      <c r="C175" s="54" t="s">
        <v>538</v>
      </c>
      <c r="D175" s="54" t="s">
        <v>539</v>
      </c>
      <c r="E175" s="54" t="s">
        <v>80</v>
      </c>
      <c r="F175" s="54" t="s">
        <v>540</v>
      </c>
      <c r="G175" s="54" t="s">
        <v>486</v>
      </c>
      <c r="H175" s="54">
        <v>36</v>
      </c>
      <c r="I175" s="54">
        <v>1</v>
      </c>
      <c r="J175" s="54">
        <v>4</v>
      </c>
      <c r="K175" s="54"/>
      <c r="L175" s="54">
        <v>4</v>
      </c>
      <c r="M175" s="54"/>
      <c r="N175" s="54" t="s">
        <v>69</v>
      </c>
      <c r="O175" s="54" t="s">
        <v>82</v>
      </c>
      <c r="P175" s="54"/>
      <c r="Q175" s="54"/>
      <c r="R175" s="70">
        <v>46205</v>
      </c>
      <c r="S175" s="70">
        <v>46204</v>
      </c>
      <c r="T175" s="54" t="s">
        <v>69</v>
      </c>
      <c r="U175" s="54"/>
      <c r="V175" s="54"/>
      <c r="W175" s="54"/>
      <c r="X175" s="54" t="s">
        <v>499</v>
      </c>
      <c r="Y175" s="54"/>
      <c r="Z175" s="54"/>
      <c r="AA175" s="54" t="s">
        <v>541</v>
      </c>
      <c r="AB175" s="54"/>
    </row>
    <row r="176" spans="1:28" x14ac:dyDescent="0.3">
      <c r="A176" s="54">
        <v>175</v>
      </c>
      <c r="B176" s="54" t="s">
        <v>740</v>
      </c>
      <c r="C176" s="54" t="s">
        <v>542</v>
      </c>
      <c r="D176" s="54" t="s">
        <v>543</v>
      </c>
      <c r="E176" s="54" t="s">
        <v>80</v>
      </c>
      <c r="F176" s="54" t="s">
        <v>544</v>
      </c>
      <c r="G176" s="54" t="s">
        <v>486</v>
      </c>
      <c r="H176" s="54">
        <v>51</v>
      </c>
      <c r="I176" s="54">
        <v>1</v>
      </c>
      <c r="J176" s="54">
        <v>1</v>
      </c>
      <c r="K176" s="54">
        <v>0.03</v>
      </c>
      <c r="L176" s="54">
        <v>1</v>
      </c>
      <c r="M176" s="54"/>
      <c r="N176" s="54" t="s">
        <v>69</v>
      </c>
      <c r="O176" s="54" t="s">
        <v>82</v>
      </c>
      <c r="P176" s="54">
        <v>3</v>
      </c>
      <c r="Q176" s="54"/>
      <c r="R176" s="70">
        <v>46190</v>
      </c>
      <c r="S176" s="70">
        <v>46241</v>
      </c>
      <c r="T176" s="54" t="s">
        <v>69</v>
      </c>
      <c r="U176" s="54"/>
      <c r="V176" s="54"/>
      <c r="W176" s="54"/>
      <c r="X176" s="54" t="s">
        <v>499</v>
      </c>
      <c r="Y176" s="54"/>
      <c r="Z176" s="54"/>
      <c r="AA176" s="54" t="s">
        <v>364</v>
      </c>
      <c r="AB176" s="54"/>
    </row>
    <row r="177" spans="1:28" x14ac:dyDescent="0.3">
      <c r="A177" s="54">
        <v>176</v>
      </c>
      <c r="B177" s="54" t="s">
        <v>740</v>
      </c>
      <c r="C177" s="54" t="s">
        <v>104</v>
      </c>
      <c r="D177" s="54" t="s">
        <v>713</v>
      </c>
      <c r="E177" s="54" t="s">
        <v>75</v>
      </c>
      <c r="F177" s="54" t="s">
        <v>714</v>
      </c>
      <c r="G177" s="54" t="s">
        <v>486</v>
      </c>
      <c r="H177" s="54">
        <v>4</v>
      </c>
      <c r="I177" s="54">
        <v>1</v>
      </c>
      <c r="J177" s="54">
        <v>0.5</v>
      </c>
      <c r="K177" s="54"/>
      <c r="L177" s="54"/>
      <c r="M177" s="54"/>
      <c r="N177" s="54" t="s">
        <v>518</v>
      </c>
      <c r="O177" s="54" t="s">
        <v>77</v>
      </c>
      <c r="P177" s="54"/>
      <c r="Q177" s="54"/>
      <c r="R177" s="54"/>
      <c r="S177" s="54"/>
      <c r="T177" s="54" t="s">
        <v>518</v>
      </c>
      <c r="U177" s="54"/>
      <c r="V177" s="54">
        <v>1</v>
      </c>
      <c r="W177" s="54"/>
      <c r="X177" s="54" t="s">
        <v>499</v>
      </c>
      <c r="Y177" s="54"/>
      <c r="Z177" s="54"/>
      <c r="AA177" s="54"/>
      <c r="AB177" s="54"/>
    </row>
    <row r="178" spans="1:28" x14ac:dyDescent="0.3">
      <c r="A178" s="54">
        <v>177</v>
      </c>
      <c r="B178" s="54" t="s">
        <v>740</v>
      </c>
      <c r="C178" s="54" t="s">
        <v>550</v>
      </c>
      <c r="D178" s="54" t="s">
        <v>551</v>
      </c>
      <c r="E178" s="54" t="s">
        <v>143</v>
      </c>
      <c r="F178" s="54" t="s">
        <v>552</v>
      </c>
      <c r="G178" s="54" t="s">
        <v>487</v>
      </c>
      <c r="H178" s="54">
        <v>7</v>
      </c>
      <c r="I178" s="54">
        <v>1</v>
      </c>
      <c r="J178" s="54">
        <v>0.5</v>
      </c>
      <c r="K178" s="54">
        <v>0.47</v>
      </c>
      <c r="L178" s="54">
        <v>0.5</v>
      </c>
      <c r="M178" s="54">
        <v>0.47</v>
      </c>
      <c r="N178" s="54" t="s">
        <v>69</v>
      </c>
      <c r="O178" s="54" t="s">
        <v>82</v>
      </c>
      <c r="P178" s="54">
        <v>94</v>
      </c>
      <c r="Q178" s="54">
        <v>94</v>
      </c>
      <c r="R178" s="70">
        <v>46234</v>
      </c>
      <c r="S178" s="70">
        <v>46235</v>
      </c>
      <c r="T178" s="54" t="s">
        <v>83</v>
      </c>
      <c r="U178" s="54"/>
      <c r="V178" s="54"/>
      <c r="W178" s="54"/>
      <c r="X178" s="54" t="s">
        <v>553</v>
      </c>
      <c r="Y178" s="54"/>
      <c r="Z178" s="54"/>
      <c r="AA178" s="54" t="s">
        <v>554</v>
      </c>
      <c r="AB178" s="54" t="s">
        <v>555</v>
      </c>
    </row>
    <row r="179" spans="1:28" x14ac:dyDescent="0.3">
      <c r="A179" s="54">
        <v>178</v>
      </c>
      <c r="B179" s="54" t="s">
        <v>740</v>
      </c>
      <c r="C179" s="54" t="s">
        <v>556</v>
      </c>
      <c r="D179" s="54" t="s">
        <v>557</v>
      </c>
      <c r="E179" s="54" t="s">
        <v>143</v>
      </c>
      <c r="F179" s="54" t="s">
        <v>558</v>
      </c>
      <c r="G179" s="54" t="s">
        <v>487</v>
      </c>
      <c r="H179" s="54">
        <v>8</v>
      </c>
      <c r="I179" s="54">
        <v>1</v>
      </c>
      <c r="J179" s="54">
        <v>0.5</v>
      </c>
      <c r="K179" s="54">
        <v>0.5</v>
      </c>
      <c r="L179" s="54">
        <v>0.5</v>
      </c>
      <c r="M179" s="54">
        <v>0.5</v>
      </c>
      <c r="N179" s="54" t="s">
        <v>69</v>
      </c>
      <c r="O179" s="54" t="s">
        <v>77</v>
      </c>
      <c r="P179" s="54">
        <v>100</v>
      </c>
      <c r="Q179" s="54">
        <v>100</v>
      </c>
      <c r="R179" s="70">
        <v>46233</v>
      </c>
      <c r="S179" s="70">
        <v>46235</v>
      </c>
      <c r="T179" s="54" t="s">
        <v>83</v>
      </c>
      <c r="U179" s="54"/>
      <c r="V179" s="54"/>
      <c r="W179" s="54"/>
      <c r="X179" s="54" t="s">
        <v>553</v>
      </c>
      <c r="Y179" s="54"/>
      <c r="Z179" s="54" t="s">
        <v>559</v>
      </c>
      <c r="AA179" s="54" t="s">
        <v>554</v>
      </c>
      <c r="AB179" s="54" t="s">
        <v>560</v>
      </c>
    </row>
    <row r="180" spans="1:28" x14ac:dyDescent="0.3">
      <c r="A180" s="54">
        <v>179</v>
      </c>
      <c r="B180" s="54" t="s">
        <v>740</v>
      </c>
      <c r="C180" s="54" t="s">
        <v>556</v>
      </c>
      <c r="D180" s="54" t="s">
        <v>561</v>
      </c>
      <c r="E180" s="54" t="s">
        <v>101</v>
      </c>
      <c r="F180" s="54" t="s">
        <v>562</v>
      </c>
      <c r="G180" s="54" t="s">
        <v>487</v>
      </c>
      <c r="H180" s="54">
        <v>8</v>
      </c>
      <c r="I180" s="54">
        <v>1</v>
      </c>
      <c r="J180" s="54">
        <v>0.75</v>
      </c>
      <c r="K180" s="54">
        <v>0.62</v>
      </c>
      <c r="L180" s="54">
        <v>0.75</v>
      </c>
      <c r="M180" s="54"/>
      <c r="N180" s="54" t="s">
        <v>69</v>
      </c>
      <c r="O180" s="54" t="s">
        <v>77</v>
      </c>
      <c r="P180" s="54">
        <v>82.67</v>
      </c>
      <c r="Q180" s="54"/>
      <c r="R180" s="70">
        <v>46233</v>
      </c>
      <c r="S180" s="70">
        <v>46234</v>
      </c>
      <c r="T180" s="54" t="s">
        <v>83</v>
      </c>
      <c r="U180" s="54"/>
      <c r="V180" s="54"/>
      <c r="W180" s="54"/>
      <c r="X180" s="54" t="s">
        <v>553</v>
      </c>
      <c r="Y180" s="54"/>
      <c r="Z180" s="54"/>
      <c r="AA180" s="54" t="s">
        <v>554</v>
      </c>
      <c r="AB180" s="54" t="s">
        <v>563</v>
      </c>
    </row>
    <row r="181" spans="1:28" x14ac:dyDescent="0.3">
      <c r="A181" s="54">
        <v>180</v>
      </c>
      <c r="B181" s="54" t="s">
        <v>740</v>
      </c>
      <c r="C181" s="54" t="s">
        <v>412</v>
      </c>
      <c r="D181" s="54" t="s">
        <v>564</v>
      </c>
      <c r="E181" s="54" t="s">
        <v>125</v>
      </c>
      <c r="F181" s="54" t="s">
        <v>565</v>
      </c>
      <c r="G181" s="54" t="s">
        <v>487</v>
      </c>
      <c r="H181" s="54">
        <v>9</v>
      </c>
      <c r="I181" s="54">
        <v>1</v>
      </c>
      <c r="J181" s="54">
        <v>0.5</v>
      </c>
      <c r="K181" s="54">
        <v>0.32</v>
      </c>
      <c r="L181" s="54"/>
      <c r="M181" s="54"/>
      <c r="N181" s="54" t="s">
        <v>69</v>
      </c>
      <c r="O181" s="54" t="s">
        <v>257</v>
      </c>
      <c r="P181" s="54">
        <v>64</v>
      </c>
      <c r="Q181" s="54"/>
      <c r="R181" s="70">
        <v>46232</v>
      </c>
      <c r="S181" s="70">
        <v>46232</v>
      </c>
      <c r="T181" s="54" t="s">
        <v>69</v>
      </c>
      <c r="U181" s="54"/>
      <c r="V181" s="54"/>
      <c r="W181" s="54"/>
      <c r="X181" s="54" t="s">
        <v>553</v>
      </c>
      <c r="Y181" s="54"/>
      <c r="Z181" s="54"/>
      <c r="AA181" s="54" t="s">
        <v>566</v>
      </c>
      <c r="AB181" s="54"/>
    </row>
    <row r="182" spans="1:28" x14ac:dyDescent="0.3">
      <c r="A182" s="54">
        <v>181</v>
      </c>
      <c r="B182" s="54" t="s">
        <v>740</v>
      </c>
      <c r="C182" s="54" t="s">
        <v>65</v>
      </c>
      <c r="D182" s="54" t="s">
        <v>567</v>
      </c>
      <c r="E182" s="54" t="s">
        <v>67</v>
      </c>
      <c r="F182" s="54" t="s">
        <v>568</v>
      </c>
      <c r="G182" s="54" t="s">
        <v>487</v>
      </c>
      <c r="H182" s="54">
        <v>11</v>
      </c>
      <c r="I182" s="54">
        <v>1</v>
      </c>
      <c r="J182" s="54">
        <v>3</v>
      </c>
      <c r="K182" s="54"/>
      <c r="L182" s="54">
        <v>3</v>
      </c>
      <c r="M182" s="54"/>
      <c r="N182" s="54" t="s">
        <v>69</v>
      </c>
      <c r="O182" s="54" t="s">
        <v>82</v>
      </c>
      <c r="P182" s="54"/>
      <c r="Q182" s="54"/>
      <c r="R182" s="70">
        <v>46230</v>
      </c>
      <c r="S182" s="70">
        <v>46242</v>
      </c>
      <c r="T182" s="54" t="s">
        <v>69</v>
      </c>
      <c r="U182" s="54"/>
      <c r="V182" s="54"/>
      <c r="W182" s="54"/>
      <c r="X182" s="54" t="s">
        <v>553</v>
      </c>
      <c r="Y182" s="54"/>
      <c r="Z182" s="54"/>
      <c r="AA182" s="54" t="s">
        <v>569</v>
      </c>
      <c r="AB182" s="54"/>
    </row>
    <row r="183" spans="1:28" x14ac:dyDescent="0.3">
      <c r="A183" s="54">
        <v>182</v>
      </c>
      <c r="B183" s="54" t="s">
        <v>740</v>
      </c>
      <c r="C183" s="54" t="s">
        <v>550</v>
      </c>
      <c r="D183" s="54" t="s">
        <v>570</v>
      </c>
      <c r="E183" s="54" t="s">
        <v>101</v>
      </c>
      <c r="F183" s="54" t="s">
        <v>571</v>
      </c>
      <c r="G183" s="54" t="s">
        <v>487</v>
      </c>
      <c r="H183" s="54">
        <v>11</v>
      </c>
      <c r="I183" s="54">
        <v>1</v>
      </c>
      <c r="J183" s="54">
        <v>1</v>
      </c>
      <c r="K183" s="54">
        <v>2.0499999999999998</v>
      </c>
      <c r="L183" s="54"/>
      <c r="M183" s="54"/>
      <c r="N183" s="54" t="s">
        <v>69</v>
      </c>
      <c r="O183" s="54" t="s">
        <v>82</v>
      </c>
      <c r="P183" s="54">
        <v>205</v>
      </c>
      <c r="Q183" s="54"/>
      <c r="R183" s="70">
        <v>46230</v>
      </c>
      <c r="S183" s="70">
        <v>46231</v>
      </c>
      <c r="T183" s="54" t="s">
        <v>69</v>
      </c>
      <c r="U183" s="54"/>
      <c r="V183" s="54"/>
      <c r="W183" s="54"/>
      <c r="X183" s="54" t="s">
        <v>553</v>
      </c>
      <c r="Y183" s="54"/>
      <c r="Z183" s="54"/>
      <c r="AA183" s="54" t="s">
        <v>572</v>
      </c>
      <c r="AB183" s="54"/>
    </row>
    <row r="184" spans="1:28" x14ac:dyDescent="0.3">
      <c r="A184" s="54">
        <v>183</v>
      </c>
      <c r="B184" s="54" t="s">
        <v>740</v>
      </c>
      <c r="C184" s="54" t="s">
        <v>573</v>
      </c>
      <c r="D184" s="54" t="s">
        <v>574</v>
      </c>
      <c r="E184" s="54" t="s">
        <v>125</v>
      </c>
      <c r="F184" s="54" t="s">
        <v>575</v>
      </c>
      <c r="G184" s="54" t="s">
        <v>487</v>
      </c>
      <c r="H184" s="54">
        <v>45</v>
      </c>
      <c r="I184" s="54">
        <v>1</v>
      </c>
      <c r="J184" s="54">
        <v>1</v>
      </c>
      <c r="K184" s="54">
        <v>8.11</v>
      </c>
      <c r="L184" s="54"/>
      <c r="M184" s="54">
        <v>0.11</v>
      </c>
      <c r="N184" s="54" t="s">
        <v>69</v>
      </c>
      <c r="O184" s="54" t="s">
        <v>77</v>
      </c>
      <c r="P184" s="54">
        <v>811</v>
      </c>
      <c r="Q184" s="54"/>
      <c r="R184" s="70">
        <v>46196</v>
      </c>
      <c r="S184" s="70">
        <v>46237</v>
      </c>
      <c r="T184" s="54" t="s">
        <v>83</v>
      </c>
      <c r="U184" s="54"/>
      <c r="V184" s="54"/>
      <c r="W184" s="54"/>
      <c r="X184" s="54" t="s">
        <v>553</v>
      </c>
      <c r="Y184" s="54"/>
      <c r="Z184" s="54" t="s">
        <v>576</v>
      </c>
      <c r="AA184" s="54" t="s">
        <v>577</v>
      </c>
      <c r="AB184" s="54" t="s">
        <v>578</v>
      </c>
    </row>
    <row r="185" spans="1:28" x14ac:dyDescent="0.3">
      <c r="A185" s="54">
        <v>184</v>
      </c>
      <c r="B185" s="54" t="s">
        <v>740</v>
      </c>
      <c r="C185" s="54" t="s">
        <v>104</v>
      </c>
      <c r="D185" s="54" t="s">
        <v>579</v>
      </c>
      <c r="E185" s="54" t="s">
        <v>244</v>
      </c>
      <c r="F185" s="54" t="s">
        <v>580</v>
      </c>
      <c r="G185" s="54" t="s">
        <v>487</v>
      </c>
      <c r="H185" s="54">
        <v>58</v>
      </c>
      <c r="I185" s="54">
        <v>1</v>
      </c>
      <c r="J185" s="54">
        <v>1.5</v>
      </c>
      <c r="K185" s="54">
        <v>1.6</v>
      </c>
      <c r="L185" s="54">
        <v>1.5</v>
      </c>
      <c r="M185" s="54"/>
      <c r="N185" s="54" t="s">
        <v>69</v>
      </c>
      <c r="O185" s="54" t="s">
        <v>82</v>
      </c>
      <c r="P185" s="54">
        <v>106.67</v>
      </c>
      <c r="Q185" s="54"/>
      <c r="R185" s="70">
        <v>46183</v>
      </c>
      <c r="S185" s="70">
        <v>46184</v>
      </c>
      <c r="T185" s="54" t="s">
        <v>69</v>
      </c>
      <c r="U185" s="54"/>
      <c r="V185" s="54"/>
      <c r="W185" s="54"/>
      <c r="X185" s="54" t="s">
        <v>553</v>
      </c>
      <c r="Y185" s="54"/>
      <c r="Z185" s="54"/>
      <c r="AA185" s="54" t="s">
        <v>581</v>
      </c>
      <c r="AB185" s="54"/>
    </row>
    <row r="186" spans="1:28" x14ac:dyDescent="0.3">
      <c r="A186" s="54">
        <v>185</v>
      </c>
      <c r="B186" s="54" t="s">
        <v>740</v>
      </c>
      <c r="C186" s="54" t="s">
        <v>65</v>
      </c>
      <c r="D186" s="54" t="s">
        <v>582</v>
      </c>
      <c r="E186" s="54" t="s">
        <v>101</v>
      </c>
      <c r="F186" s="54" t="s">
        <v>583</v>
      </c>
      <c r="G186" s="54" t="s">
        <v>487</v>
      </c>
      <c r="H186" s="54">
        <v>81</v>
      </c>
      <c r="I186" s="54">
        <v>1</v>
      </c>
      <c r="J186" s="54">
        <v>5</v>
      </c>
      <c r="K186" s="54"/>
      <c r="L186" s="54">
        <v>5</v>
      </c>
      <c r="M186" s="54"/>
      <c r="N186" s="54" t="s">
        <v>69</v>
      </c>
      <c r="O186" s="54" t="s">
        <v>82</v>
      </c>
      <c r="P186" s="54"/>
      <c r="Q186" s="54"/>
      <c r="R186" s="70">
        <v>46160</v>
      </c>
      <c r="S186" s="70">
        <v>46167</v>
      </c>
      <c r="T186" s="54" t="s">
        <v>69</v>
      </c>
      <c r="U186" s="54"/>
      <c r="V186" s="54"/>
      <c r="W186" s="54"/>
      <c r="X186" s="54" t="s">
        <v>553</v>
      </c>
      <c r="Y186" s="54"/>
      <c r="Z186" s="54"/>
      <c r="AA186" s="54" t="s">
        <v>569</v>
      </c>
      <c r="AB186" s="54"/>
    </row>
    <row r="187" spans="1:28" x14ac:dyDescent="0.3">
      <c r="A187" s="54">
        <v>186</v>
      </c>
      <c r="B187" s="54" t="s">
        <v>740</v>
      </c>
      <c r="C187" s="54" t="s">
        <v>104</v>
      </c>
      <c r="D187" s="54" t="s">
        <v>584</v>
      </c>
      <c r="E187" s="54" t="s">
        <v>112</v>
      </c>
      <c r="F187" s="54" t="s">
        <v>585</v>
      </c>
      <c r="G187" s="54" t="s">
        <v>488</v>
      </c>
      <c r="H187" s="54">
        <v>6</v>
      </c>
      <c r="I187" s="54">
        <v>1</v>
      </c>
      <c r="J187" s="54">
        <v>7</v>
      </c>
      <c r="K187" s="54"/>
      <c r="L187" s="54">
        <v>7</v>
      </c>
      <c r="M187" s="54"/>
      <c r="N187" s="54" t="s">
        <v>69</v>
      </c>
      <c r="O187" s="54" t="s">
        <v>82</v>
      </c>
      <c r="P187" s="54"/>
      <c r="Q187" s="54"/>
      <c r="R187" s="54"/>
      <c r="S187" s="70">
        <v>46235</v>
      </c>
      <c r="T187" s="54" t="s">
        <v>69</v>
      </c>
      <c r="U187" s="54"/>
      <c r="V187" s="54"/>
      <c r="W187" s="54"/>
      <c r="X187" s="54" t="s">
        <v>492</v>
      </c>
      <c r="Y187" s="54"/>
      <c r="Z187" s="54"/>
      <c r="AA187" s="54"/>
      <c r="AB187" s="54"/>
    </row>
    <row r="188" spans="1:28" x14ac:dyDescent="0.3">
      <c r="A188" s="54">
        <v>187</v>
      </c>
      <c r="B188" s="54" t="s">
        <v>740</v>
      </c>
      <c r="C188" s="54" t="s">
        <v>586</v>
      </c>
      <c r="D188" s="54" t="s">
        <v>587</v>
      </c>
      <c r="E188" s="54" t="s">
        <v>67</v>
      </c>
      <c r="F188" s="54" t="s">
        <v>588</v>
      </c>
      <c r="G188" s="54" t="s">
        <v>487</v>
      </c>
      <c r="H188" s="54">
        <v>28</v>
      </c>
      <c r="I188" s="54">
        <v>1</v>
      </c>
      <c r="J188" s="54">
        <v>4</v>
      </c>
      <c r="K188" s="54">
        <v>4.32</v>
      </c>
      <c r="L188" s="54">
        <v>0.79</v>
      </c>
      <c r="M188" s="54">
        <v>1.1100000000000001</v>
      </c>
      <c r="N188" s="54" t="s">
        <v>69</v>
      </c>
      <c r="O188" s="54" t="s">
        <v>82</v>
      </c>
      <c r="P188" s="54">
        <v>108</v>
      </c>
      <c r="Q188" s="54">
        <v>140.51</v>
      </c>
      <c r="R188" s="54"/>
      <c r="S188" s="70">
        <v>46237</v>
      </c>
      <c r="T188" s="54" t="s">
        <v>83</v>
      </c>
      <c r="U188" s="54"/>
      <c r="V188" s="54">
        <v>1</v>
      </c>
      <c r="W188" s="54"/>
      <c r="X188" s="54" t="s">
        <v>553</v>
      </c>
      <c r="Y188" s="54"/>
      <c r="Z188" s="54" t="s">
        <v>589</v>
      </c>
      <c r="AA188" s="54" t="s">
        <v>590</v>
      </c>
      <c r="AB188" s="54" t="s">
        <v>591</v>
      </c>
    </row>
    <row r="189" spans="1:28" x14ac:dyDescent="0.3">
      <c r="A189" s="54">
        <v>188</v>
      </c>
      <c r="B189" s="54" t="s">
        <v>740</v>
      </c>
      <c r="C189" s="54" t="s">
        <v>592</v>
      </c>
      <c r="D189" s="54" t="s">
        <v>593</v>
      </c>
      <c r="E189" s="54" t="s">
        <v>101</v>
      </c>
      <c r="F189" s="54" t="s">
        <v>594</v>
      </c>
      <c r="G189" s="54" t="s">
        <v>487</v>
      </c>
      <c r="H189" s="54">
        <v>7</v>
      </c>
      <c r="I189" s="54">
        <v>1</v>
      </c>
      <c r="J189" s="54">
        <v>4.5</v>
      </c>
      <c r="K189" s="54">
        <v>4.08</v>
      </c>
      <c r="L189" s="54">
        <v>1.73</v>
      </c>
      <c r="M189" s="54">
        <v>1.32</v>
      </c>
      <c r="N189" s="54" t="s">
        <v>69</v>
      </c>
      <c r="O189" s="54" t="s">
        <v>77</v>
      </c>
      <c r="P189" s="54">
        <v>90.67</v>
      </c>
      <c r="Q189" s="54">
        <v>76.3</v>
      </c>
      <c r="R189" s="54"/>
      <c r="S189" s="70">
        <v>46240</v>
      </c>
      <c r="T189" s="54" t="s">
        <v>83</v>
      </c>
      <c r="U189" s="54"/>
      <c r="V189" s="54">
        <v>1</v>
      </c>
      <c r="W189" s="54"/>
      <c r="X189" s="54" t="s">
        <v>553</v>
      </c>
      <c r="Y189" s="54"/>
      <c r="Z189" s="54"/>
      <c r="AA189" s="54" t="s">
        <v>554</v>
      </c>
      <c r="AB189" s="54" t="s">
        <v>595</v>
      </c>
    </row>
    <row r="190" spans="1:28" x14ac:dyDescent="0.3">
      <c r="A190" s="54">
        <v>189</v>
      </c>
      <c r="B190" s="54" t="s">
        <v>740</v>
      </c>
      <c r="C190" s="54" t="s">
        <v>104</v>
      </c>
      <c r="D190" s="54" t="s">
        <v>602</v>
      </c>
      <c r="E190" s="54" t="s">
        <v>101</v>
      </c>
      <c r="F190" s="54" t="s">
        <v>603</v>
      </c>
      <c r="G190" s="54" t="s">
        <v>486</v>
      </c>
      <c r="H190" s="54">
        <v>5</v>
      </c>
      <c r="I190" s="54">
        <v>1</v>
      </c>
      <c r="J190" s="54">
        <v>0.5</v>
      </c>
      <c r="K190" s="54">
        <v>0.45</v>
      </c>
      <c r="L190" s="54">
        <v>0.5</v>
      </c>
      <c r="M190" s="54">
        <v>0.45</v>
      </c>
      <c r="N190" s="54" t="s">
        <v>83</v>
      </c>
      <c r="O190" s="54" t="s">
        <v>257</v>
      </c>
      <c r="P190" s="54">
        <v>90</v>
      </c>
      <c r="Q190" s="54">
        <v>90</v>
      </c>
      <c r="R190" s="54"/>
      <c r="S190" s="70">
        <v>46235</v>
      </c>
      <c r="T190" s="54" t="s">
        <v>97</v>
      </c>
      <c r="U190" s="54"/>
      <c r="V190" s="54">
        <v>1</v>
      </c>
      <c r="W190" s="54"/>
      <c r="X190" s="54" t="s">
        <v>499</v>
      </c>
      <c r="Y190" s="54"/>
      <c r="Z190" s="54"/>
      <c r="AA190" s="54"/>
      <c r="AB190" s="54" t="s">
        <v>604</v>
      </c>
    </row>
    <row r="191" spans="1:28" x14ac:dyDescent="0.3">
      <c r="A191" s="54">
        <v>190</v>
      </c>
      <c r="B191" s="54" t="s">
        <v>740</v>
      </c>
      <c r="C191" s="54" t="s">
        <v>550</v>
      </c>
      <c r="D191" s="54" t="s">
        <v>605</v>
      </c>
      <c r="E191" s="54" t="s">
        <v>125</v>
      </c>
      <c r="F191" s="54" t="s">
        <v>606</v>
      </c>
      <c r="G191" s="54" t="s">
        <v>487</v>
      </c>
      <c r="H191" s="54"/>
      <c r="I191" s="54">
        <v>1</v>
      </c>
      <c r="J191" s="54">
        <v>0.5</v>
      </c>
      <c r="K191" s="54">
        <v>0.44</v>
      </c>
      <c r="L191" s="54">
        <v>0.5</v>
      </c>
      <c r="M191" s="54">
        <v>0.43</v>
      </c>
      <c r="N191" s="54" t="s">
        <v>97</v>
      </c>
      <c r="O191" s="54" t="s">
        <v>257</v>
      </c>
      <c r="P191" s="54">
        <v>88</v>
      </c>
      <c r="Q191" s="54">
        <v>86</v>
      </c>
      <c r="R191" s="54"/>
      <c r="S191" s="70">
        <v>46235</v>
      </c>
      <c r="T191" s="54" t="s">
        <v>97</v>
      </c>
      <c r="U191" s="54"/>
      <c r="V191" s="54">
        <v>1</v>
      </c>
      <c r="W191" s="54"/>
      <c r="X191" s="54" t="s">
        <v>553</v>
      </c>
      <c r="Y191" s="54"/>
      <c r="Z191" s="54"/>
      <c r="AA191" s="54"/>
      <c r="AB191" s="54" t="s">
        <v>607</v>
      </c>
    </row>
    <row r="192" spans="1:28" x14ac:dyDescent="0.3">
      <c r="A192" s="54">
        <v>191</v>
      </c>
      <c r="B192" s="54" t="s">
        <v>740</v>
      </c>
      <c r="C192" s="54" t="s">
        <v>550</v>
      </c>
      <c r="D192" s="54" t="s">
        <v>608</v>
      </c>
      <c r="E192" s="54" t="s">
        <v>67</v>
      </c>
      <c r="F192" s="54" t="s">
        <v>609</v>
      </c>
      <c r="G192" s="54" t="s">
        <v>487</v>
      </c>
      <c r="H192" s="54">
        <v>6</v>
      </c>
      <c r="I192" s="54">
        <v>1</v>
      </c>
      <c r="J192" s="54">
        <v>0.5</v>
      </c>
      <c r="K192" s="54">
        <v>0.55000000000000004</v>
      </c>
      <c r="L192" s="54">
        <v>0.5</v>
      </c>
      <c r="M192" s="54">
        <v>0.55000000000000004</v>
      </c>
      <c r="N192" s="54" t="s">
        <v>107</v>
      </c>
      <c r="O192" s="54" t="s">
        <v>77</v>
      </c>
      <c r="P192" s="54">
        <v>110</v>
      </c>
      <c r="Q192" s="54">
        <v>110</v>
      </c>
      <c r="R192" s="54"/>
      <c r="S192" s="70">
        <v>46235</v>
      </c>
      <c r="T192" s="54" t="s">
        <v>97</v>
      </c>
      <c r="U192" s="54"/>
      <c r="V192" s="54">
        <v>1</v>
      </c>
      <c r="W192" s="54"/>
      <c r="X192" s="54" t="s">
        <v>553</v>
      </c>
      <c r="Y192" s="54"/>
      <c r="Z192" s="54"/>
      <c r="AA192" s="54"/>
      <c r="AB192" s="54" t="s">
        <v>610</v>
      </c>
    </row>
    <row r="193" spans="1:28" x14ac:dyDescent="0.3">
      <c r="A193" s="54">
        <v>192</v>
      </c>
      <c r="B193" s="54" t="s">
        <v>740</v>
      </c>
      <c r="C193" s="54" t="s">
        <v>550</v>
      </c>
      <c r="D193" s="54" t="s">
        <v>611</v>
      </c>
      <c r="E193" s="54" t="s">
        <v>125</v>
      </c>
      <c r="F193" s="54" t="s">
        <v>606</v>
      </c>
      <c r="G193" s="54" t="s">
        <v>487</v>
      </c>
      <c r="H193" s="54"/>
      <c r="I193" s="54">
        <v>1</v>
      </c>
      <c r="J193" s="54">
        <v>0.5</v>
      </c>
      <c r="K193" s="54"/>
      <c r="L193" s="54"/>
      <c r="M193" s="54"/>
      <c r="N193" s="54" t="s">
        <v>518</v>
      </c>
      <c r="O193" s="54" t="s">
        <v>257</v>
      </c>
      <c r="P193" s="54"/>
      <c r="Q193" s="54"/>
      <c r="R193" s="54"/>
      <c r="S193" s="54"/>
      <c r="T193" s="54" t="s">
        <v>518</v>
      </c>
      <c r="U193" s="54"/>
      <c r="V193" s="54">
        <v>1</v>
      </c>
      <c r="W193" s="54"/>
      <c r="X193" s="54" t="s">
        <v>553</v>
      </c>
      <c r="Y193" s="54"/>
      <c r="Z193" s="54"/>
      <c r="AA193" s="54"/>
      <c r="AB193" s="54"/>
    </row>
    <row r="194" spans="1:28" x14ac:dyDescent="0.3">
      <c r="A194" s="54">
        <v>193</v>
      </c>
      <c r="B194" s="54" t="s">
        <v>740</v>
      </c>
      <c r="C194" s="54" t="s">
        <v>104</v>
      </c>
      <c r="D194" s="54" t="s">
        <v>615</v>
      </c>
      <c r="E194" s="54" t="s">
        <v>125</v>
      </c>
      <c r="F194" s="54" t="s">
        <v>616</v>
      </c>
      <c r="G194" s="54" t="s">
        <v>487</v>
      </c>
      <c r="H194" s="54">
        <v>4</v>
      </c>
      <c r="I194" s="54">
        <v>1</v>
      </c>
      <c r="J194" s="54">
        <v>0.75</v>
      </c>
      <c r="K194" s="54">
        <v>1.41</v>
      </c>
      <c r="L194" s="54">
        <v>0.75</v>
      </c>
      <c r="M194" s="54">
        <v>1.41</v>
      </c>
      <c r="N194" s="54" t="s">
        <v>69</v>
      </c>
      <c r="O194" s="54" t="s">
        <v>77</v>
      </c>
      <c r="P194" s="54">
        <v>188</v>
      </c>
      <c r="Q194" s="54">
        <v>188</v>
      </c>
      <c r="R194" s="54"/>
      <c r="S194" s="70">
        <v>46235</v>
      </c>
      <c r="T194" s="54" t="s">
        <v>83</v>
      </c>
      <c r="U194" s="54"/>
      <c r="V194" s="54"/>
      <c r="W194" s="54"/>
      <c r="X194" s="54" t="s">
        <v>553</v>
      </c>
      <c r="Y194" s="54"/>
      <c r="Z194" s="54" t="s">
        <v>617</v>
      </c>
      <c r="AA194" s="54" t="s">
        <v>618</v>
      </c>
      <c r="AB194" s="54" t="s">
        <v>619</v>
      </c>
    </row>
    <row r="195" spans="1:28" x14ac:dyDescent="0.3">
      <c r="A195" s="54">
        <v>194</v>
      </c>
      <c r="B195" s="54" t="s">
        <v>740</v>
      </c>
      <c r="C195" s="54" t="s">
        <v>90</v>
      </c>
      <c r="D195" s="54" t="s">
        <v>623</v>
      </c>
      <c r="E195" s="54" t="s">
        <v>143</v>
      </c>
      <c r="F195" s="54" t="s">
        <v>624</v>
      </c>
      <c r="G195" s="54" t="s">
        <v>487</v>
      </c>
      <c r="H195" s="54">
        <v>4</v>
      </c>
      <c r="I195" s="54">
        <v>1</v>
      </c>
      <c r="J195" s="54">
        <v>0.5</v>
      </c>
      <c r="K195" s="54">
        <v>0.6</v>
      </c>
      <c r="L195" s="54">
        <v>0.5</v>
      </c>
      <c r="M195" s="54">
        <v>0.6</v>
      </c>
      <c r="N195" s="54" t="s">
        <v>69</v>
      </c>
      <c r="O195" s="54" t="s">
        <v>77</v>
      </c>
      <c r="P195" s="54">
        <v>120</v>
      </c>
      <c r="Q195" s="54">
        <v>120</v>
      </c>
      <c r="R195" s="54"/>
      <c r="S195" s="70">
        <v>46237</v>
      </c>
      <c r="T195" s="54" t="s">
        <v>97</v>
      </c>
      <c r="U195" s="54"/>
      <c r="V195" s="54">
        <v>1</v>
      </c>
      <c r="W195" s="54"/>
      <c r="X195" s="54" t="s">
        <v>553</v>
      </c>
      <c r="Y195" s="54"/>
      <c r="Z195" s="54" t="s">
        <v>625</v>
      </c>
      <c r="AA195" s="54" t="s">
        <v>626</v>
      </c>
      <c r="AB195" s="54" t="s">
        <v>627</v>
      </c>
    </row>
    <row r="196" spans="1:28" x14ac:dyDescent="0.3">
      <c r="A196" s="54">
        <v>195</v>
      </c>
      <c r="B196" s="54" t="s">
        <v>740</v>
      </c>
      <c r="C196" s="54" t="s">
        <v>631</v>
      </c>
      <c r="D196" s="54" t="s">
        <v>632</v>
      </c>
      <c r="E196" s="54" t="s">
        <v>101</v>
      </c>
      <c r="F196" s="54" t="s">
        <v>633</v>
      </c>
      <c r="G196" s="54" t="s">
        <v>487</v>
      </c>
      <c r="H196" s="54">
        <v>3</v>
      </c>
      <c r="I196" s="54">
        <v>1</v>
      </c>
      <c r="J196" s="54">
        <v>0.25</v>
      </c>
      <c r="K196" s="54">
        <v>0.2</v>
      </c>
      <c r="L196" s="54">
        <v>0.25</v>
      </c>
      <c r="M196" s="54">
        <v>0.2</v>
      </c>
      <c r="N196" s="54" t="s">
        <v>83</v>
      </c>
      <c r="O196" s="54" t="s">
        <v>82</v>
      </c>
      <c r="P196" s="54">
        <v>80</v>
      </c>
      <c r="Q196" s="54">
        <v>80</v>
      </c>
      <c r="R196" s="54"/>
      <c r="S196" s="70">
        <v>46237</v>
      </c>
      <c r="T196" s="54" t="s">
        <v>97</v>
      </c>
      <c r="U196" s="54"/>
      <c r="V196" s="54">
        <v>1</v>
      </c>
      <c r="W196" s="54"/>
      <c r="X196" s="54" t="s">
        <v>553</v>
      </c>
      <c r="Y196" s="54"/>
      <c r="Z196" s="54"/>
      <c r="AA196" s="54"/>
      <c r="AB196" s="54" t="s">
        <v>634</v>
      </c>
    </row>
    <row r="197" spans="1:28" x14ac:dyDescent="0.3">
      <c r="A197" s="54">
        <v>196</v>
      </c>
      <c r="B197" s="54" t="s">
        <v>740</v>
      </c>
      <c r="C197" s="54" t="s">
        <v>550</v>
      </c>
      <c r="D197" s="54" t="s">
        <v>635</v>
      </c>
      <c r="E197" s="54" t="s">
        <v>125</v>
      </c>
      <c r="F197" s="54" t="s">
        <v>636</v>
      </c>
      <c r="G197" s="54" t="s">
        <v>487</v>
      </c>
      <c r="H197" s="54">
        <v>3</v>
      </c>
      <c r="I197" s="54">
        <v>1</v>
      </c>
      <c r="J197" s="54">
        <v>0.5</v>
      </c>
      <c r="K197" s="54">
        <v>0.49</v>
      </c>
      <c r="L197" s="54">
        <v>0.5</v>
      </c>
      <c r="M197" s="54">
        <v>0.49</v>
      </c>
      <c r="N197" s="54" t="s">
        <v>83</v>
      </c>
      <c r="O197" s="54" t="s">
        <v>77</v>
      </c>
      <c r="P197" s="54">
        <v>98</v>
      </c>
      <c r="Q197" s="54">
        <v>98</v>
      </c>
      <c r="R197" s="54"/>
      <c r="S197" s="70">
        <v>46237</v>
      </c>
      <c r="T197" s="54" t="s">
        <v>97</v>
      </c>
      <c r="U197" s="54"/>
      <c r="V197" s="54">
        <v>1</v>
      </c>
      <c r="W197" s="54"/>
      <c r="X197" s="54" t="s">
        <v>553</v>
      </c>
      <c r="Y197" s="54"/>
      <c r="Z197" s="54"/>
      <c r="AA197" s="54"/>
      <c r="AB197" s="54" t="s">
        <v>637</v>
      </c>
    </row>
    <row r="198" spans="1:28" x14ac:dyDescent="0.3">
      <c r="A198" s="54">
        <v>197</v>
      </c>
      <c r="B198" s="54" t="s">
        <v>740</v>
      </c>
      <c r="C198" s="54" t="s">
        <v>90</v>
      </c>
      <c r="D198" s="54" t="s">
        <v>638</v>
      </c>
      <c r="E198" s="54" t="s">
        <v>143</v>
      </c>
      <c r="F198" s="54" t="s">
        <v>639</v>
      </c>
      <c r="G198" s="54" t="s">
        <v>487</v>
      </c>
      <c r="H198" s="54">
        <v>3</v>
      </c>
      <c r="I198" s="54">
        <v>1</v>
      </c>
      <c r="J198" s="54">
        <v>0.5</v>
      </c>
      <c r="K198" s="54">
        <v>0.44</v>
      </c>
      <c r="L198" s="54">
        <v>0.5</v>
      </c>
      <c r="M198" s="54">
        <v>0.44</v>
      </c>
      <c r="N198" s="54" t="s">
        <v>107</v>
      </c>
      <c r="O198" s="54" t="s">
        <v>77</v>
      </c>
      <c r="P198" s="54">
        <v>88</v>
      </c>
      <c r="Q198" s="54">
        <v>88</v>
      </c>
      <c r="R198" s="54"/>
      <c r="S198" s="70">
        <v>46237</v>
      </c>
      <c r="T198" s="54" t="s">
        <v>97</v>
      </c>
      <c r="U198" s="54"/>
      <c r="V198" s="54">
        <v>1</v>
      </c>
      <c r="W198" s="54"/>
      <c r="X198" s="54" t="s">
        <v>553</v>
      </c>
      <c r="Y198" s="54"/>
      <c r="Z198" s="54"/>
      <c r="AA198" s="54"/>
      <c r="AB198" s="54" t="s">
        <v>640</v>
      </c>
    </row>
    <row r="199" spans="1:28" x14ac:dyDescent="0.3">
      <c r="A199" s="54">
        <v>198</v>
      </c>
      <c r="B199" s="54" t="s">
        <v>740</v>
      </c>
      <c r="C199" s="54" t="s">
        <v>586</v>
      </c>
      <c r="D199" s="54" t="s">
        <v>641</v>
      </c>
      <c r="E199" s="54" t="s">
        <v>67</v>
      </c>
      <c r="F199" s="54" t="s">
        <v>642</v>
      </c>
      <c r="G199" s="54" t="s">
        <v>487</v>
      </c>
      <c r="H199" s="54">
        <v>3</v>
      </c>
      <c r="I199" s="54">
        <v>1</v>
      </c>
      <c r="J199" s="54">
        <v>9</v>
      </c>
      <c r="K199" s="54">
        <v>8.77</v>
      </c>
      <c r="L199" s="54">
        <v>6</v>
      </c>
      <c r="M199" s="54">
        <v>8.77</v>
      </c>
      <c r="N199" s="54" t="s">
        <v>69</v>
      </c>
      <c r="O199" s="54" t="s">
        <v>77</v>
      </c>
      <c r="P199" s="54">
        <v>97.44</v>
      </c>
      <c r="Q199" s="54">
        <v>146.16999999999999</v>
      </c>
      <c r="R199" s="54"/>
      <c r="S199" s="70">
        <v>46239</v>
      </c>
      <c r="T199" s="54" t="s">
        <v>83</v>
      </c>
      <c r="U199" s="54"/>
      <c r="V199" s="54">
        <v>1</v>
      </c>
      <c r="W199" s="54"/>
      <c r="X199" s="54" t="s">
        <v>553</v>
      </c>
      <c r="Y199" s="54"/>
      <c r="Z199" s="54"/>
      <c r="AA199" s="54" t="s">
        <v>643</v>
      </c>
      <c r="AB199" s="54" t="s">
        <v>644</v>
      </c>
    </row>
    <row r="200" spans="1:28" x14ac:dyDescent="0.3">
      <c r="A200" s="54">
        <v>199</v>
      </c>
      <c r="B200" s="54" t="s">
        <v>740</v>
      </c>
      <c r="C200" s="54" t="s">
        <v>104</v>
      </c>
      <c r="D200" s="54" t="s">
        <v>645</v>
      </c>
      <c r="E200" s="54" t="s">
        <v>125</v>
      </c>
      <c r="F200" s="54" t="s">
        <v>646</v>
      </c>
      <c r="G200" s="54" t="s">
        <v>487</v>
      </c>
      <c r="H200" s="54">
        <v>3</v>
      </c>
      <c r="I200" s="54">
        <v>1</v>
      </c>
      <c r="J200" s="54">
        <v>0.5</v>
      </c>
      <c r="K200" s="54">
        <v>0.66</v>
      </c>
      <c r="L200" s="54">
        <v>0.5</v>
      </c>
      <c r="M200" s="54">
        <v>0.66</v>
      </c>
      <c r="N200" s="54" t="s">
        <v>69</v>
      </c>
      <c r="O200" s="54" t="s">
        <v>82</v>
      </c>
      <c r="P200" s="54">
        <v>132</v>
      </c>
      <c r="Q200" s="54">
        <v>132</v>
      </c>
      <c r="R200" s="54"/>
      <c r="S200" s="70">
        <v>46239</v>
      </c>
      <c r="T200" s="54" t="s">
        <v>83</v>
      </c>
      <c r="U200" s="54"/>
      <c r="V200" s="54"/>
      <c r="W200" s="54"/>
      <c r="X200" s="54" t="s">
        <v>553</v>
      </c>
      <c r="Y200" s="54"/>
      <c r="Z200" s="54" t="s">
        <v>647</v>
      </c>
      <c r="AA200" s="54" t="s">
        <v>648</v>
      </c>
      <c r="AB200" s="54" t="s">
        <v>649</v>
      </c>
    </row>
    <row r="201" spans="1:28" x14ac:dyDescent="0.3">
      <c r="A201" s="54">
        <v>200</v>
      </c>
      <c r="B201" s="54" t="s">
        <v>740</v>
      </c>
      <c r="C201" s="54" t="s">
        <v>104</v>
      </c>
      <c r="D201" s="54" t="s">
        <v>650</v>
      </c>
      <c r="E201" s="54" t="s">
        <v>125</v>
      </c>
      <c r="F201" s="54" t="s">
        <v>651</v>
      </c>
      <c r="G201" s="54" t="s">
        <v>487</v>
      </c>
      <c r="H201" s="54">
        <v>1</v>
      </c>
      <c r="I201" s="54">
        <v>1</v>
      </c>
      <c r="J201" s="54">
        <v>0.5</v>
      </c>
      <c r="K201" s="54"/>
      <c r="L201" s="54">
        <v>0.5</v>
      </c>
      <c r="M201" s="54"/>
      <c r="N201" s="54" t="s">
        <v>69</v>
      </c>
      <c r="O201" s="54" t="s">
        <v>82</v>
      </c>
      <c r="P201" s="54"/>
      <c r="Q201" s="54"/>
      <c r="R201" s="54"/>
      <c r="S201" s="54"/>
      <c r="T201" s="54" t="s">
        <v>518</v>
      </c>
      <c r="U201" s="54"/>
      <c r="V201" s="54"/>
      <c r="W201" s="54"/>
      <c r="X201" s="54" t="s">
        <v>553</v>
      </c>
      <c r="Y201" s="54"/>
      <c r="Z201" s="54"/>
      <c r="AA201" s="54"/>
      <c r="AB201" s="54"/>
    </row>
    <row r="202" spans="1:28" x14ac:dyDescent="0.3">
      <c r="A202" s="54">
        <v>201</v>
      </c>
      <c r="B202" s="54" t="s">
        <v>740</v>
      </c>
      <c r="C202" s="54" t="s">
        <v>104</v>
      </c>
      <c r="D202" s="54" t="s">
        <v>652</v>
      </c>
      <c r="E202" s="54" t="s">
        <v>125</v>
      </c>
      <c r="F202" s="54" t="s">
        <v>653</v>
      </c>
      <c r="G202" s="54" t="s">
        <v>487</v>
      </c>
      <c r="H202" s="54">
        <v>3</v>
      </c>
      <c r="I202" s="54">
        <v>1</v>
      </c>
      <c r="J202" s="54">
        <v>1</v>
      </c>
      <c r="K202" s="54">
        <v>0.92</v>
      </c>
      <c r="L202" s="54">
        <v>1</v>
      </c>
      <c r="M202" s="54">
        <v>0.92</v>
      </c>
      <c r="N202" s="54" t="s">
        <v>69</v>
      </c>
      <c r="O202" s="54" t="s">
        <v>82</v>
      </c>
      <c r="P202" s="54">
        <v>92</v>
      </c>
      <c r="Q202" s="54">
        <v>92</v>
      </c>
      <c r="R202" s="54"/>
      <c r="S202" s="70">
        <v>46239</v>
      </c>
      <c r="T202" s="54" t="s">
        <v>83</v>
      </c>
      <c r="U202" s="54"/>
      <c r="V202" s="54"/>
      <c r="W202" s="54"/>
      <c r="X202" s="54" t="s">
        <v>553</v>
      </c>
      <c r="Y202" s="54"/>
      <c r="Z202" s="54"/>
      <c r="AA202" s="54" t="s">
        <v>648</v>
      </c>
      <c r="AB202" s="54" t="s">
        <v>654</v>
      </c>
    </row>
    <row r="203" spans="1:28" x14ac:dyDescent="0.3">
      <c r="A203" s="54">
        <v>202</v>
      </c>
      <c r="B203" s="54" t="s">
        <v>740</v>
      </c>
      <c r="C203" s="54" t="s">
        <v>412</v>
      </c>
      <c r="D203" s="54" t="s">
        <v>655</v>
      </c>
      <c r="E203" s="54" t="s">
        <v>125</v>
      </c>
      <c r="F203" s="54" t="s">
        <v>656</v>
      </c>
      <c r="G203" s="54" t="s">
        <v>487</v>
      </c>
      <c r="H203" s="54">
        <v>3</v>
      </c>
      <c r="I203" s="54">
        <v>1</v>
      </c>
      <c r="J203" s="54">
        <v>0.5</v>
      </c>
      <c r="K203" s="54">
        <v>1.1499999999999999</v>
      </c>
      <c r="L203" s="54">
        <v>0.5</v>
      </c>
      <c r="M203" s="54">
        <v>1.1499999999999999</v>
      </c>
      <c r="N203" s="54" t="s">
        <v>83</v>
      </c>
      <c r="O203" s="54" t="s">
        <v>77</v>
      </c>
      <c r="P203" s="54">
        <v>230</v>
      </c>
      <c r="Q203" s="54">
        <v>230</v>
      </c>
      <c r="R203" s="54"/>
      <c r="S203" s="70">
        <v>46238</v>
      </c>
      <c r="T203" s="54" t="s">
        <v>83</v>
      </c>
      <c r="U203" s="54"/>
      <c r="V203" s="54">
        <v>1</v>
      </c>
      <c r="W203" s="54"/>
      <c r="X203" s="54" t="s">
        <v>553</v>
      </c>
      <c r="Y203" s="54"/>
      <c r="Z203" s="54" t="s">
        <v>657</v>
      </c>
      <c r="AA203" s="54" t="s">
        <v>648</v>
      </c>
      <c r="AB203" s="54" t="s">
        <v>658</v>
      </c>
    </row>
    <row r="204" spans="1:28" x14ac:dyDescent="0.3">
      <c r="A204" s="54">
        <v>203</v>
      </c>
      <c r="B204" s="54" t="s">
        <v>740</v>
      </c>
      <c r="C204" s="54" t="s">
        <v>412</v>
      </c>
      <c r="D204" s="54" t="s">
        <v>659</v>
      </c>
      <c r="E204" s="54" t="s">
        <v>143</v>
      </c>
      <c r="F204" s="54" t="s">
        <v>660</v>
      </c>
      <c r="G204" s="54" t="s">
        <v>487</v>
      </c>
      <c r="H204" s="54">
        <v>3</v>
      </c>
      <c r="I204" s="54">
        <v>1</v>
      </c>
      <c r="J204" s="54">
        <v>0.5</v>
      </c>
      <c r="K204" s="54">
        <v>1.31</v>
      </c>
      <c r="L204" s="54">
        <v>0.5</v>
      </c>
      <c r="M204" s="54">
        <v>1.31</v>
      </c>
      <c r="N204" s="54" t="s">
        <v>69</v>
      </c>
      <c r="O204" s="54" t="s">
        <v>77</v>
      </c>
      <c r="P204" s="54">
        <v>262</v>
      </c>
      <c r="Q204" s="54">
        <v>262</v>
      </c>
      <c r="R204" s="54"/>
      <c r="S204" s="70">
        <v>46240</v>
      </c>
      <c r="T204" s="54" t="s">
        <v>83</v>
      </c>
      <c r="U204" s="54"/>
      <c r="V204" s="54">
        <v>1</v>
      </c>
      <c r="W204" s="54"/>
      <c r="X204" s="54" t="s">
        <v>553</v>
      </c>
      <c r="Y204" s="54"/>
      <c r="Z204" s="54" t="s">
        <v>661</v>
      </c>
      <c r="AA204" s="54" t="s">
        <v>662</v>
      </c>
      <c r="AB204" s="54" t="s">
        <v>663</v>
      </c>
    </row>
    <row r="205" spans="1:28" x14ac:dyDescent="0.3">
      <c r="A205" s="54">
        <v>204</v>
      </c>
      <c r="B205" s="54" t="s">
        <v>740</v>
      </c>
      <c r="C205" s="54" t="s">
        <v>390</v>
      </c>
      <c r="D205" s="54" t="s">
        <v>670</v>
      </c>
      <c r="E205" s="54" t="s">
        <v>125</v>
      </c>
      <c r="F205" s="54" t="s">
        <v>392</v>
      </c>
      <c r="G205" s="54" t="s">
        <v>487</v>
      </c>
      <c r="H205" s="54"/>
      <c r="I205" s="54">
        <v>1</v>
      </c>
      <c r="J205" s="54">
        <v>1</v>
      </c>
      <c r="K205" s="54"/>
      <c r="L205" s="54"/>
      <c r="M205" s="54"/>
      <c r="N205" s="54" t="s">
        <v>518</v>
      </c>
      <c r="O205" s="54" t="s">
        <v>77</v>
      </c>
      <c r="P205" s="54"/>
      <c r="Q205" s="54"/>
      <c r="R205" s="54"/>
      <c r="S205" s="54"/>
      <c r="T205" s="54" t="s">
        <v>518</v>
      </c>
      <c r="U205" s="54"/>
      <c r="V205" s="54">
        <v>1</v>
      </c>
      <c r="W205" s="54"/>
      <c r="X205" s="54" t="s">
        <v>553</v>
      </c>
      <c r="Y205" s="54"/>
      <c r="Z205" s="54"/>
      <c r="AA205" s="54"/>
      <c r="AB205" s="54"/>
    </row>
    <row r="206" spans="1:28" x14ac:dyDescent="0.3">
      <c r="A206" s="54">
        <v>205</v>
      </c>
      <c r="B206" s="54" t="s">
        <v>740</v>
      </c>
      <c r="C206" s="54" t="s">
        <v>104</v>
      </c>
      <c r="D206" s="54" t="s">
        <v>671</v>
      </c>
      <c r="E206" s="54" t="s">
        <v>143</v>
      </c>
      <c r="F206" s="54" t="s">
        <v>672</v>
      </c>
      <c r="G206" s="54" t="s">
        <v>487</v>
      </c>
      <c r="H206" s="54">
        <v>2</v>
      </c>
      <c r="I206" s="54">
        <v>1</v>
      </c>
      <c r="J206" s="54">
        <v>0.5</v>
      </c>
      <c r="K206" s="54">
        <v>0.94</v>
      </c>
      <c r="L206" s="54">
        <v>0.5</v>
      </c>
      <c r="M206" s="54">
        <v>0.49</v>
      </c>
      <c r="N206" s="54" t="s">
        <v>107</v>
      </c>
      <c r="O206" s="54" t="s">
        <v>77</v>
      </c>
      <c r="P206" s="54">
        <v>188</v>
      </c>
      <c r="Q206" s="54">
        <v>98</v>
      </c>
      <c r="R206" s="54"/>
      <c r="S206" s="70">
        <v>46239</v>
      </c>
      <c r="T206" s="54" t="s">
        <v>83</v>
      </c>
      <c r="U206" s="54"/>
      <c r="V206" s="54">
        <v>1</v>
      </c>
      <c r="W206" s="54"/>
      <c r="X206" s="54" t="s">
        <v>553</v>
      </c>
      <c r="Y206" s="54"/>
      <c r="Z206" s="54"/>
      <c r="AA206" s="54" t="s">
        <v>648</v>
      </c>
      <c r="AB206" s="54" t="s">
        <v>673</v>
      </c>
    </row>
    <row r="207" spans="1:28" x14ac:dyDescent="0.3">
      <c r="A207" s="54">
        <v>206</v>
      </c>
      <c r="B207" s="54" t="s">
        <v>740</v>
      </c>
      <c r="C207" s="54" t="s">
        <v>674</v>
      </c>
      <c r="D207" s="54" t="s">
        <v>675</v>
      </c>
      <c r="E207" s="54" t="s">
        <v>143</v>
      </c>
      <c r="F207" s="54" t="s">
        <v>676</v>
      </c>
      <c r="G207" s="54" t="s">
        <v>487</v>
      </c>
      <c r="H207" s="54">
        <v>1</v>
      </c>
      <c r="I207" s="54">
        <v>1</v>
      </c>
      <c r="J207" s="54">
        <v>0.75</v>
      </c>
      <c r="K207" s="54">
        <v>0.73</v>
      </c>
      <c r="L207" s="54">
        <v>0.75</v>
      </c>
      <c r="M207" s="54">
        <v>0.73</v>
      </c>
      <c r="N207" s="54" t="s">
        <v>69</v>
      </c>
      <c r="O207" s="54" t="s">
        <v>257</v>
      </c>
      <c r="P207" s="54">
        <v>97.33</v>
      </c>
      <c r="Q207" s="54">
        <v>97.33</v>
      </c>
      <c r="R207" s="54"/>
      <c r="S207" s="70">
        <v>46240</v>
      </c>
      <c r="T207" s="54" t="s">
        <v>83</v>
      </c>
      <c r="U207" s="54"/>
      <c r="V207" s="54"/>
      <c r="W207" s="54"/>
      <c r="X207" s="54" t="s">
        <v>553</v>
      </c>
      <c r="Y207" s="54"/>
      <c r="Z207" s="54"/>
      <c r="AA207" s="54" t="s">
        <v>677</v>
      </c>
      <c r="AB207" s="54" t="s">
        <v>678</v>
      </c>
    </row>
    <row r="208" spans="1:28" x14ac:dyDescent="0.3">
      <c r="A208" s="54">
        <v>207</v>
      </c>
      <c r="B208" s="54" t="s">
        <v>740</v>
      </c>
      <c r="C208" s="54" t="s">
        <v>674</v>
      </c>
      <c r="D208" s="54" t="s">
        <v>679</v>
      </c>
      <c r="E208" s="54" t="s">
        <v>101</v>
      </c>
      <c r="F208" s="54" t="s">
        <v>680</v>
      </c>
      <c r="G208" s="54" t="s">
        <v>487</v>
      </c>
      <c r="H208" s="54">
        <v>4</v>
      </c>
      <c r="I208" s="54">
        <v>1</v>
      </c>
      <c r="J208" s="54">
        <v>1</v>
      </c>
      <c r="K208" s="54">
        <v>2.06</v>
      </c>
      <c r="L208" s="54">
        <v>1</v>
      </c>
      <c r="M208" s="54">
        <v>2.06</v>
      </c>
      <c r="N208" s="54" t="s">
        <v>69</v>
      </c>
      <c r="O208" s="54" t="s">
        <v>82</v>
      </c>
      <c r="P208" s="54">
        <v>206</v>
      </c>
      <c r="Q208" s="54">
        <v>206</v>
      </c>
      <c r="R208" s="54"/>
      <c r="S208" s="70">
        <v>46240</v>
      </c>
      <c r="T208" s="54" t="s">
        <v>83</v>
      </c>
      <c r="U208" s="54"/>
      <c r="V208" s="54"/>
      <c r="W208" s="54"/>
      <c r="X208" s="54" t="s">
        <v>553</v>
      </c>
      <c r="Y208" s="54"/>
      <c r="Z208" s="54" t="s">
        <v>681</v>
      </c>
      <c r="AA208" s="54" t="s">
        <v>554</v>
      </c>
      <c r="AB208" s="54" t="s">
        <v>682</v>
      </c>
    </row>
    <row r="209" spans="1:28" x14ac:dyDescent="0.3">
      <c r="A209" s="54">
        <v>208</v>
      </c>
      <c r="B209" s="54" t="s">
        <v>740</v>
      </c>
      <c r="C209" s="54" t="s">
        <v>586</v>
      </c>
      <c r="D209" s="54" t="s">
        <v>683</v>
      </c>
      <c r="E209" s="54" t="s">
        <v>67</v>
      </c>
      <c r="F209" s="54" t="s">
        <v>684</v>
      </c>
      <c r="G209" s="54" t="s">
        <v>487</v>
      </c>
      <c r="H209" s="54">
        <v>1</v>
      </c>
      <c r="I209" s="54">
        <v>1</v>
      </c>
      <c r="J209" s="54">
        <v>4</v>
      </c>
      <c r="K209" s="54"/>
      <c r="L209" s="54">
        <v>4</v>
      </c>
      <c r="M209" s="54"/>
      <c r="N209" s="54" t="s">
        <v>69</v>
      </c>
      <c r="O209" s="54" t="s">
        <v>82</v>
      </c>
      <c r="P209" s="54"/>
      <c r="Q209" s="54"/>
      <c r="R209" s="54"/>
      <c r="S209" s="70">
        <v>46241</v>
      </c>
      <c r="T209" s="54" t="s">
        <v>69</v>
      </c>
      <c r="U209" s="54"/>
      <c r="V209" s="54"/>
      <c r="W209" s="54"/>
      <c r="X209" s="54" t="s">
        <v>553</v>
      </c>
      <c r="Y209" s="54"/>
      <c r="Z209" s="54"/>
      <c r="AA209" s="54" t="s">
        <v>685</v>
      </c>
      <c r="AB209" s="54"/>
    </row>
    <row r="210" spans="1:28" x14ac:dyDescent="0.3">
      <c r="A210" s="54">
        <v>209</v>
      </c>
      <c r="B210" s="54" t="s">
        <v>740</v>
      </c>
      <c r="C210" s="54" t="s">
        <v>90</v>
      </c>
      <c r="D210" s="54" t="s">
        <v>686</v>
      </c>
      <c r="E210" s="54" t="s">
        <v>143</v>
      </c>
      <c r="F210" s="54" t="s">
        <v>687</v>
      </c>
      <c r="G210" s="54" t="s">
        <v>486</v>
      </c>
      <c r="H210" s="54">
        <v>25</v>
      </c>
      <c r="I210" s="54">
        <v>1</v>
      </c>
      <c r="J210" s="54">
        <v>3.5</v>
      </c>
      <c r="K210" s="54">
        <v>2.2799999999999998</v>
      </c>
      <c r="L210" s="54">
        <v>1.22</v>
      </c>
      <c r="M210" s="54">
        <v>2.2799999999999998</v>
      </c>
      <c r="N210" s="54" t="s">
        <v>69</v>
      </c>
      <c r="O210" s="54" t="s">
        <v>82</v>
      </c>
      <c r="P210" s="54">
        <v>65.14</v>
      </c>
      <c r="Q210" s="54">
        <v>186.89</v>
      </c>
      <c r="R210" s="54"/>
      <c r="S210" s="70">
        <v>46241</v>
      </c>
      <c r="T210" s="54" t="s">
        <v>69</v>
      </c>
      <c r="U210" s="54"/>
      <c r="V210" s="54"/>
      <c r="W210" s="54"/>
      <c r="X210" s="54" t="s">
        <v>499</v>
      </c>
      <c r="Y210" s="54"/>
      <c r="Z210" s="54"/>
      <c r="AA210" s="54" t="s">
        <v>688</v>
      </c>
      <c r="AB210" s="54"/>
    </row>
    <row r="211" spans="1:28" x14ac:dyDescent="0.3">
      <c r="A211" s="54">
        <v>210</v>
      </c>
      <c r="B211" s="54" t="s">
        <v>740</v>
      </c>
      <c r="C211" s="54" t="s">
        <v>90</v>
      </c>
      <c r="D211" s="54" t="s">
        <v>689</v>
      </c>
      <c r="E211" s="54" t="s">
        <v>143</v>
      </c>
      <c r="F211" s="54" t="s">
        <v>690</v>
      </c>
      <c r="G211" s="54" t="s">
        <v>486</v>
      </c>
      <c r="H211" s="54">
        <v>25</v>
      </c>
      <c r="I211" s="54">
        <v>1</v>
      </c>
      <c r="J211" s="54">
        <v>1</v>
      </c>
      <c r="K211" s="54"/>
      <c r="L211" s="54">
        <v>1</v>
      </c>
      <c r="M211" s="54"/>
      <c r="N211" s="54" t="s">
        <v>69</v>
      </c>
      <c r="O211" s="54" t="s">
        <v>82</v>
      </c>
      <c r="P211" s="54"/>
      <c r="Q211" s="54"/>
      <c r="R211" s="54"/>
      <c r="S211" s="70">
        <v>46240</v>
      </c>
      <c r="T211" s="54" t="s">
        <v>69</v>
      </c>
      <c r="U211" s="54"/>
      <c r="V211" s="54"/>
      <c r="W211" s="54"/>
      <c r="X211" s="54" t="s">
        <v>499</v>
      </c>
      <c r="Y211" s="54"/>
      <c r="Z211" s="54"/>
      <c r="AA211" s="54" t="s">
        <v>691</v>
      </c>
      <c r="AB211" s="54"/>
    </row>
    <row r="212" spans="1:28" x14ac:dyDescent="0.3">
      <c r="A212" s="54">
        <v>211</v>
      </c>
      <c r="B212" s="54" t="s">
        <v>740</v>
      </c>
      <c r="C212" s="54" t="s">
        <v>596</v>
      </c>
      <c r="D212" s="54" t="s">
        <v>597</v>
      </c>
      <c r="E212" s="54" t="s">
        <v>75</v>
      </c>
      <c r="F212" s="54" t="s">
        <v>598</v>
      </c>
      <c r="G212" s="54" t="s">
        <v>487</v>
      </c>
      <c r="H212" s="54">
        <v>10</v>
      </c>
      <c r="I212" s="54">
        <v>1</v>
      </c>
      <c r="J212" s="54">
        <v>4</v>
      </c>
      <c r="K212" s="54">
        <v>7.89</v>
      </c>
      <c r="L212" s="54"/>
      <c r="M212" s="54">
        <v>0.23</v>
      </c>
      <c r="N212" s="54" t="s">
        <v>69</v>
      </c>
      <c r="O212" s="54" t="s">
        <v>77</v>
      </c>
      <c r="P212" s="54">
        <v>197.25</v>
      </c>
      <c r="Q212" s="54"/>
      <c r="R212" s="54"/>
      <c r="S212" s="70">
        <v>46235</v>
      </c>
      <c r="T212" s="54" t="s">
        <v>83</v>
      </c>
      <c r="U212" s="54"/>
      <c r="V212" s="54">
        <v>1</v>
      </c>
      <c r="W212" s="54"/>
      <c r="X212" s="54" t="s">
        <v>553</v>
      </c>
      <c r="Y212" s="54"/>
      <c r="Z212" s="54" t="s">
        <v>599</v>
      </c>
      <c r="AA212" s="54" t="s">
        <v>600</v>
      </c>
      <c r="AB212" s="54" t="s">
        <v>601</v>
      </c>
    </row>
    <row r="213" spans="1:28" x14ac:dyDescent="0.3">
      <c r="A213" s="54">
        <v>212</v>
      </c>
      <c r="B213" s="54" t="s">
        <v>740</v>
      </c>
      <c r="C213" s="54" t="s">
        <v>104</v>
      </c>
      <c r="D213" s="54" t="s">
        <v>620</v>
      </c>
      <c r="E213" s="54" t="s">
        <v>75</v>
      </c>
      <c r="F213" s="54" t="s">
        <v>621</v>
      </c>
      <c r="G213" s="54" t="s">
        <v>487</v>
      </c>
      <c r="H213" s="54"/>
      <c r="I213" s="54">
        <v>1</v>
      </c>
      <c r="J213" s="54">
        <v>0.5</v>
      </c>
      <c r="K213" s="54">
        <v>0.5</v>
      </c>
      <c r="L213" s="54">
        <v>0.5</v>
      </c>
      <c r="M213" s="54">
        <v>0.5</v>
      </c>
      <c r="N213" s="54" t="s">
        <v>69</v>
      </c>
      <c r="O213" s="54" t="s">
        <v>82</v>
      </c>
      <c r="P213" s="54">
        <v>100</v>
      </c>
      <c r="Q213" s="54">
        <v>100</v>
      </c>
      <c r="R213" s="54"/>
      <c r="S213" s="70">
        <v>46237</v>
      </c>
      <c r="T213" s="54" t="s">
        <v>97</v>
      </c>
      <c r="U213" s="54"/>
      <c r="V213" s="54">
        <v>1</v>
      </c>
      <c r="W213" s="54"/>
      <c r="X213" s="54" t="s">
        <v>553</v>
      </c>
      <c r="Y213" s="54"/>
      <c r="Z213" s="54"/>
      <c r="AA213" s="54"/>
      <c r="AB213" s="54" t="s">
        <v>622</v>
      </c>
    </row>
    <row r="214" spans="1:28" x14ac:dyDescent="0.3">
      <c r="A214" s="54">
        <v>213</v>
      </c>
      <c r="B214" s="54" t="s">
        <v>740</v>
      </c>
      <c r="C214" s="54" t="s">
        <v>508</v>
      </c>
      <c r="D214" s="54" t="s">
        <v>701</v>
      </c>
      <c r="E214" s="54" t="s">
        <v>143</v>
      </c>
      <c r="F214" s="54" t="s">
        <v>702</v>
      </c>
      <c r="G214" s="54" t="s">
        <v>486</v>
      </c>
      <c r="H214" s="54">
        <v>0</v>
      </c>
      <c r="I214" s="54">
        <v>1</v>
      </c>
      <c r="J214" s="54">
        <v>0.5</v>
      </c>
      <c r="K214" s="54">
        <v>0.46</v>
      </c>
      <c r="L214" s="54">
        <v>0.5</v>
      </c>
      <c r="M214" s="54">
        <v>0.46</v>
      </c>
      <c r="N214" s="54" t="s">
        <v>83</v>
      </c>
      <c r="O214" s="54" t="s">
        <v>257</v>
      </c>
      <c r="P214" s="54">
        <v>92</v>
      </c>
      <c r="Q214" s="54">
        <v>92</v>
      </c>
      <c r="R214" s="54"/>
      <c r="S214" s="70">
        <v>46240</v>
      </c>
      <c r="T214" s="54" t="s">
        <v>97</v>
      </c>
      <c r="U214" s="54"/>
      <c r="V214" s="54">
        <v>1</v>
      </c>
      <c r="W214" s="54"/>
      <c r="X214" s="54" t="s">
        <v>499</v>
      </c>
      <c r="Y214" s="54"/>
      <c r="Z214" s="54"/>
      <c r="AA214" s="54"/>
      <c r="AB214" s="54" t="s">
        <v>703</v>
      </c>
    </row>
    <row r="215" spans="1:28" x14ac:dyDescent="0.3">
      <c r="A215" s="54">
        <v>214</v>
      </c>
      <c r="B215" s="54" t="s">
        <v>740</v>
      </c>
      <c r="C215" s="54" t="s">
        <v>508</v>
      </c>
      <c r="D215" s="54" t="s">
        <v>628</v>
      </c>
      <c r="E215" s="54" t="s">
        <v>75</v>
      </c>
      <c r="F215" s="54" t="s">
        <v>629</v>
      </c>
      <c r="G215" s="54" t="s">
        <v>487</v>
      </c>
      <c r="H215" s="54">
        <v>0</v>
      </c>
      <c r="I215" s="54">
        <v>1</v>
      </c>
      <c r="J215" s="54">
        <v>0.5</v>
      </c>
      <c r="K215" s="54">
        <v>0.48</v>
      </c>
      <c r="L215" s="54">
        <v>0.5</v>
      </c>
      <c r="M215" s="54">
        <v>0.48</v>
      </c>
      <c r="N215" s="54" t="s">
        <v>69</v>
      </c>
      <c r="O215" s="54" t="s">
        <v>82</v>
      </c>
      <c r="P215" s="54">
        <v>96</v>
      </c>
      <c r="Q215" s="54">
        <v>96</v>
      </c>
      <c r="R215" s="54"/>
      <c r="S215" s="70">
        <v>46237</v>
      </c>
      <c r="T215" s="54" t="s">
        <v>97</v>
      </c>
      <c r="U215" s="54"/>
      <c r="V215" s="54">
        <v>1</v>
      </c>
      <c r="W215" s="54"/>
      <c r="X215" s="54" t="s">
        <v>553</v>
      </c>
      <c r="Y215" s="54"/>
      <c r="Z215" s="54"/>
      <c r="AA215" s="54"/>
      <c r="AB215" s="54" t="s">
        <v>630</v>
      </c>
    </row>
    <row r="216" spans="1:28" x14ac:dyDescent="0.3">
      <c r="A216" s="54">
        <v>215</v>
      </c>
      <c r="B216" s="54" t="s">
        <v>740</v>
      </c>
      <c r="C216" s="54" t="s">
        <v>542</v>
      </c>
      <c r="D216" s="54" t="s">
        <v>707</v>
      </c>
      <c r="E216" s="54" t="s">
        <v>80</v>
      </c>
      <c r="F216" s="54" t="s">
        <v>708</v>
      </c>
      <c r="G216" s="54" t="s">
        <v>486</v>
      </c>
      <c r="H216" s="54">
        <v>0</v>
      </c>
      <c r="I216" s="54">
        <v>1</v>
      </c>
      <c r="J216" s="54">
        <v>1</v>
      </c>
      <c r="K216" s="54">
        <v>1.1299999999999999</v>
      </c>
      <c r="L216" s="54">
        <v>1</v>
      </c>
      <c r="M216" s="54">
        <v>1.1299999999999999</v>
      </c>
      <c r="N216" s="54" t="s">
        <v>107</v>
      </c>
      <c r="O216" s="54" t="s">
        <v>77</v>
      </c>
      <c r="P216" s="54">
        <v>113</v>
      </c>
      <c r="Q216" s="54">
        <v>113</v>
      </c>
      <c r="R216" s="54"/>
      <c r="S216" s="70">
        <v>46240</v>
      </c>
      <c r="T216" s="54" t="s">
        <v>97</v>
      </c>
      <c r="U216" s="54"/>
      <c r="V216" s="54">
        <v>1</v>
      </c>
      <c r="W216" s="54"/>
      <c r="X216" s="54" t="s">
        <v>499</v>
      </c>
      <c r="Y216" s="54"/>
      <c r="Z216" s="54" t="s">
        <v>709</v>
      </c>
      <c r="AA216" s="54"/>
      <c r="AB216" s="54" t="s">
        <v>710</v>
      </c>
    </row>
    <row r="217" spans="1:28" x14ac:dyDescent="0.3">
      <c r="A217" s="54">
        <v>216</v>
      </c>
      <c r="B217" s="54" t="s">
        <v>740</v>
      </c>
      <c r="C217" s="54" t="s">
        <v>508</v>
      </c>
      <c r="D217" s="54" t="s">
        <v>711</v>
      </c>
      <c r="E217" s="54" t="s">
        <v>125</v>
      </c>
      <c r="F217" s="54" t="s">
        <v>712</v>
      </c>
      <c r="G217" s="54" t="s">
        <v>486</v>
      </c>
      <c r="H217" s="54">
        <v>0</v>
      </c>
      <c r="I217" s="54">
        <v>1</v>
      </c>
      <c r="J217" s="54">
        <v>0.75</v>
      </c>
      <c r="K217" s="54"/>
      <c r="L217" s="54"/>
      <c r="M217" s="54"/>
      <c r="N217" s="54" t="s">
        <v>69</v>
      </c>
      <c r="O217" s="54" t="s">
        <v>77</v>
      </c>
      <c r="P217" s="54"/>
      <c r="Q217" s="54"/>
      <c r="R217" s="54"/>
      <c r="S217" s="54"/>
      <c r="T217" s="54" t="s">
        <v>69</v>
      </c>
      <c r="U217" s="54"/>
      <c r="V217" s="54">
        <v>1</v>
      </c>
      <c r="W217" s="54"/>
      <c r="X217" s="54" t="s">
        <v>499</v>
      </c>
      <c r="Y217" s="54"/>
      <c r="Z217" s="54"/>
      <c r="AA217" s="54" t="s">
        <v>525</v>
      </c>
      <c r="AB217" s="54"/>
    </row>
    <row r="218" spans="1:28" x14ac:dyDescent="0.3">
      <c r="A218" s="54">
        <v>217</v>
      </c>
      <c r="B218" s="54" t="s">
        <v>740</v>
      </c>
      <c r="C218" s="54" t="s">
        <v>631</v>
      </c>
      <c r="D218" s="54" t="s">
        <v>664</v>
      </c>
      <c r="E218" s="54" t="s">
        <v>75</v>
      </c>
      <c r="F218" s="54" t="s">
        <v>665</v>
      </c>
      <c r="G218" s="54" t="s">
        <v>487</v>
      </c>
      <c r="H218" s="54">
        <v>3</v>
      </c>
      <c r="I218" s="54">
        <v>1</v>
      </c>
      <c r="J218" s="54">
        <v>0.5</v>
      </c>
      <c r="K218" s="54"/>
      <c r="L218" s="54">
        <v>1</v>
      </c>
      <c r="M218" s="54"/>
      <c r="N218" s="54" t="s">
        <v>69</v>
      </c>
      <c r="O218" s="54" t="s">
        <v>82</v>
      </c>
      <c r="P218" s="54"/>
      <c r="Q218" s="54"/>
      <c r="R218" s="54"/>
      <c r="S218" s="70">
        <v>46240</v>
      </c>
      <c r="T218" s="54" t="s">
        <v>69</v>
      </c>
      <c r="U218" s="54"/>
      <c r="V218" s="54"/>
      <c r="W218" s="54"/>
      <c r="X218" s="54" t="s">
        <v>553</v>
      </c>
      <c r="Y218" s="54"/>
      <c r="Z218" s="54"/>
      <c r="AA218" s="54" t="s">
        <v>666</v>
      </c>
      <c r="AB218" s="54"/>
    </row>
    <row r="219" spans="1:28" x14ac:dyDescent="0.3">
      <c r="A219" s="54">
        <v>218</v>
      </c>
      <c r="B219" s="54" t="s">
        <v>740</v>
      </c>
      <c r="C219" s="54" t="s">
        <v>104</v>
      </c>
      <c r="D219" s="54" t="s">
        <v>715</v>
      </c>
      <c r="E219" s="54" t="s">
        <v>101</v>
      </c>
      <c r="F219" s="54" t="s">
        <v>716</v>
      </c>
      <c r="G219" s="54" t="s">
        <v>486</v>
      </c>
      <c r="H219" s="54">
        <v>0</v>
      </c>
      <c r="I219" s="54">
        <v>1</v>
      </c>
      <c r="J219" s="54">
        <v>1</v>
      </c>
      <c r="K219" s="54"/>
      <c r="L219" s="54">
        <v>1</v>
      </c>
      <c r="M219" s="54"/>
      <c r="N219" s="54" t="s">
        <v>69</v>
      </c>
      <c r="O219" s="54" t="s">
        <v>77</v>
      </c>
      <c r="P219" s="54"/>
      <c r="Q219" s="54"/>
      <c r="R219" s="54"/>
      <c r="S219" s="70">
        <v>46241</v>
      </c>
      <c r="T219" s="54" t="s">
        <v>69</v>
      </c>
      <c r="U219" s="54"/>
      <c r="V219" s="54">
        <v>1</v>
      </c>
      <c r="W219" s="54"/>
      <c r="X219" s="54" t="s">
        <v>499</v>
      </c>
      <c r="Y219" s="54"/>
      <c r="Z219" s="54"/>
      <c r="AA219" s="54" t="s">
        <v>364</v>
      </c>
      <c r="AB219" s="54"/>
    </row>
    <row r="220" spans="1:28" x14ac:dyDescent="0.3">
      <c r="A220" s="54">
        <v>219</v>
      </c>
      <c r="B220" s="54" t="s">
        <v>740</v>
      </c>
      <c r="C220" s="54" t="s">
        <v>104</v>
      </c>
      <c r="D220" s="54" t="s">
        <v>717</v>
      </c>
      <c r="E220" s="54" t="s">
        <v>80</v>
      </c>
      <c r="F220" s="54" t="s">
        <v>718</v>
      </c>
      <c r="G220" s="54" t="s">
        <v>486</v>
      </c>
      <c r="H220" s="54">
        <v>0</v>
      </c>
      <c r="I220" s="54">
        <v>1</v>
      </c>
      <c r="J220" s="54">
        <v>1</v>
      </c>
      <c r="K220" s="54"/>
      <c r="L220" s="54">
        <v>1</v>
      </c>
      <c r="M220" s="54"/>
      <c r="N220" s="54" t="s">
        <v>69</v>
      </c>
      <c r="O220" s="54" t="s">
        <v>82</v>
      </c>
      <c r="P220" s="54"/>
      <c r="Q220" s="54"/>
      <c r="R220" s="54"/>
      <c r="S220" s="70">
        <v>46241</v>
      </c>
      <c r="T220" s="54" t="s">
        <v>69</v>
      </c>
      <c r="U220" s="54"/>
      <c r="V220" s="54">
        <v>1</v>
      </c>
      <c r="W220" s="54"/>
      <c r="X220" s="54" t="s">
        <v>499</v>
      </c>
      <c r="Y220" s="54"/>
      <c r="Z220" s="54"/>
      <c r="AA220" s="54" t="s">
        <v>719</v>
      </c>
      <c r="AB220" s="54"/>
    </row>
    <row r="221" spans="1:28" x14ac:dyDescent="0.3">
      <c r="A221" s="54">
        <v>220</v>
      </c>
      <c r="B221" s="54" t="s">
        <v>740</v>
      </c>
      <c r="C221" s="54" t="s">
        <v>412</v>
      </c>
      <c r="D221" s="54" t="s">
        <v>720</v>
      </c>
      <c r="E221" s="54" t="s">
        <v>143</v>
      </c>
      <c r="F221" s="54" t="s">
        <v>721</v>
      </c>
      <c r="G221" s="54" t="s">
        <v>487</v>
      </c>
      <c r="H221" s="54">
        <v>0</v>
      </c>
      <c r="I221" s="54">
        <v>1</v>
      </c>
      <c r="J221" s="54">
        <v>0.5</v>
      </c>
      <c r="K221" s="54">
        <v>0.56999999999999995</v>
      </c>
      <c r="L221" s="54">
        <v>0.5</v>
      </c>
      <c r="M221" s="54">
        <v>0.56999999999999995</v>
      </c>
      <c r="N221" s="54" t="s">
        <v>107</v>
      </c>
      <c r="O221" s="54" t="s">
        <v>77</v>
      </c>
      <c r="P221" s="54">
        <v>114</v>
      </c>
      <c r="Q221" s="54">
        <v>114</v>
      </c>
      <c r="R221" s="54"/>
      <c r="S221" s="70">
        <v>46241</v>
      </c>
      <c r="T221" s="54" t="s">
        <v>97</v>
      </c>
      <c r="U221" s="54"/>
      <c r="V221" s="54">
        <v>1</v>
      </c>
      <c r="W221" s="54"/>
      <c r="X221" s="54" t="s">
        <v>553</v>
      </c>
      <c r="Y221" s="54"/>
      <c r="Z221" s="54" t="s">
        <v>722</v>
      </c>
      <c r="AA221" s="54"/>
      <c r="AB221" s="54" t="s">
        <v>723</v>
      </c>
    </row>
    <row r="222" spans="1:28" x14ac:dyDescent="0.3">
      <c r="A222" s="54">
        <v>221</v>
      </c>
      <c r="B222" s="54" t="s">
        <v>740</v>
      </c>
      <c r="C222" s="54" t="s">
        <v>674</v>
      </c>
      <c r="D222" s="54" t="s">
        <v>724</v>
      </c>
      <c r="E222" s="54" t="s">
        <v>101</v>
      </c>
      <c r="F222" s="54" t="s">
        <v>725</v>
      </c>
      <c r="G222" s="54" t="s">
        <v>487</v>
      </c>
      <c r="H222" s="54">
        <v>0</v>
      </c>
      <c r="I222" s="54">
        <v>1</v>
      </c>
      <c r="J222" s="54">
        <v>0.5</v>
      </c>
      <c r="K222" s="54">
        <v>0.66</v>
      </c>
      <c r="L222" s="54">
        <v>0.5</v>
      </c>
      <c r="M222" s="54">
        <v>0.66</v>
      </c>
      <c r="N222" s="54" t="s">
        <v>69</v>
      </c>
      <c r="O222" s="54" t="s">
        <v>257</v>
      </c>
      <c r="P222" s="54">
        <v>132</v>
      </c>
      <c r="Q222" s="54">
        <v>132</v>
      </c>
      <c r="R222" s="54"/>
      <c r="S222" s="70">
        <v>46241</v>
      </c>
      <c r="T222" s="54" t="s">
        <v>83</v>
      </c>
      <c r="U222" s="54"/>
      <c r="V222" s="54">
        <v>1</v>
      </c>
      <c r="W222" s="54"/>
      <c r="X222" s="54" t="s">
        <v>553</v>
      </c>
      <c r="Y222" s="54"/>
      <c r="Z222" s="54" t="s">
        <v>625</v>
      </c>
      <c r="AA222" s="54" t="s">
        <v>726</v>
      </c>
      <c r="AB222" s="54" t="s">
        <v>727</v>
      </c>
    </row>
    <row r="223" spans="1:28" x14ac:dyDescent="0.3">
      <c r="A223" s="54">
        <v>222</v>
      </c>
      <c r="B223" s="54" t="s">
        <v>740</v>
      </c>
      <c r="C223" s="54" t="s">
        <v>104</v>
      </c>
      <c r="D223" s="54" t="s">
        <v>728</v>
      </c>
      <c r="E223" s="54" t="s">
        <v>80</v>
      </c>
      <c r="F223" s="54" t="s">
        <v>729</v>
      </c>
      <c r="G223" s="54" t="s">
        <v>487</v>
      </c>
      <c r="H223" s="54">
        <v>0</v>
      </c>
      <c r="I223" s="54">
        <v>1</v>
      </c>
      <c r="J223" s="54">
        <v>1</v>
      </c>
      <c r="K223" s="54"/>
      <c r="L223" s="54">
        <v>1</v>
      </c>
      <c r="M223" s="54"/>
      <c r="N223" s="54" t="s">
        <v>69</v>
      </c>
      <c r="O223" s="54" t="s">
        <v>82</v>
      </c>
      <c r="P223" s="54"/>
      <c r="Q223" s="54"/>
      <c r="R223" s="54"/>
      <c r="S223" s="70">
        <v>46241</v>
      </c>
      <c r="T223" s="54" t="s">
        <v>69</v>
      </c>
      <c r="U223" s="54"/>
      <c r="V223" s="54">
        <v>1</v>
      </c>
      <c r="W223" s="54"/>
      <c r="X223" s="54" t="s">
        <v>553</v>
      </c>
      <c r="Y223" s="54"/>
      <c r="Z223" s="54"/>
      <c r="AA223" s="54" t="s">
        <v>455</v>
      </c>
      <c r="AB223" s="54"/>
    </row>
    <row r="224" spans="1:28" x14ac:dyDescent="0.3">
      <c r="A224" s="54">
        <v>223</v>
      </c>
      <c r="B224" s="54" t="s">
        <v>740</v>
      </c>
      <c r="C224" s="54" t="s">
        <v>412</v>
      </c>
      <c r="D224" s="54" t="s">
        <v>730</v>
      </c>
      <c r="E224" s="54" t="s">
        <v>143</v>
      </c>
      <c r="F224" s="54" t="s">
        <v>731</v>
      </c>
      <c r="G224" s="54" t="s">
        <v>487</v>
      </c>
      <c r="H224" s="54">
        <v>0</v>
      </c>
      <c r="I224" s="54">
        <v>1</v>
      </c>
      <c r="J224" s="54">
        <v>0.5</v>
      </c>
      <c r="K224" s="54">
        <v>0.45</v>
      </c>
      <c r="L224" s="54">
        <v>0.5</v>
      </c>
      <c r="M224" s="54">
        <v>0.45</v>
      </c>
      <c r="N224" s="54" t="s">
        <v>69</v>
      </c>
      <c r="O224" s="54" t="s">
        <v>77</v>
      </c>
      <c r="P224" s="54">
        <v>90</v>
      </c>
      <c r="Q224" s="54">
        <v>90</v>
      </c>
      <c r="R224" s="54"/>
      <c r="S224" s="70">
        <v>46241</v>
      </c>
      <c r="T224" s="54" t="s">
        <v>83</v>
      </c>
      <c r="U224" s="54"/>
      <c r="V224" s="54">
        <v>1</v>
      </c>
      <c r="W224" s="54"/>
      <c r="X224" s="54" t="s">
        <v>553</v>
      </c>
      <c r="Y224" s="54"/>
      <c r="Z224" s="54"/>
      <c r="AA224" s="54" t="s">
        <v>554</v>
      </c>
      <c r="AB224" s="54" t="s">
        <v>732</v>
      </c>
    </row>
    <row r="225" spans="1:28" x14ac:dyDescent="0.3">
      <c r="A225" s="54">
        <v>224</v>
      </c>
      <c r="B225" s="54" t="s">
        <v>740</v>
      </c>
      <c r="C225" s="54" t="s">
        <v>412</v>
      </c>
      <c r="D225" s="54" t="s">
        <v>733</v>
      </c>
      <c r="E225" s="54" t="s">
        <v>101</v>
      </c>
      <c r="F225" s="54" t="s">
        <v>734</v>
      </c>
      <c r="G225" s="54" t="s">
        <v>487</v>
      </c>
      <c r="H225" s="54">
        <v>4</v>
      </c>
      <c r="I225" s="54">
        <v>1</v>
      </c>
      <c r="J225" s="54">
        <v>1</v>
      </c>
      <c r="K225" s="54"/>
      <c r="L225" s="54"/>
      <c r="M225" s="54"/>
      <c r="N225" s="54" t="s">
        <v>69</v>
      </c>
      <c r="O225" s="54" t="s">
        <v>82</v>
      </c>
      <c r="P225" s="54"/>
      <c r="Q225" s="54"/>
      <c r="R225" s="54"/>
      <c r="S225" s="54"/>
      <c r="T225" s="54" t="s">
        <v>69</v>
      </c>
      <c r="U225" s="54"/>
      <c r="V225" s="54">
        <v>1</v>
      </c>
      <c r="W225" s="54"/>
      <c r="X225" s="54" t="s">
        <v>553</v>
      </c>
      <c r="Y225" s="54"/>
      <c r="Z225" s="54"/>
      <c r="AA225" s="54" t="s">
        <v>735</v>
      </c>
      <c r="AB225" s="54"/>
    </row>
    <row r="226" spans="1:28" x14ac:dyDescent="0.3">
      <c r="A226" s="54">
        <v>225</v>
      </c>
      <c r="B226" s="54" t="s">
        <v>740</v>
      </c>
      <c r="C226" s="54" t="s">
        <v>104</v>
      </c>
      <c r="D226" s="54" t="s">
        <v>736</v>
      </c>
      <c r="E226" s="54" t="s">
        <v>125</v>
      </c>
      <c r="F226" s="54" t="s">
        <v>737</v>
      </c>
      <c r="G226" s="54" t="s">
        <v>486</v>
      </c>
      <c r="H226" s="54">
        <v>0</v>
      </c>
      <c r="I226" s="54">
        <v>1</v>
      </c>
      <c r="J226" s="54">
        <v>0.5</v>
      </c>
      <c r="K226" s="54"/>
      <c r="L226" s="54"/>
      <c r="M226" s="54"/>
      <c r="N226" s="54" t="s">
        <v>69</v>
      </c>
      <c r="O226" s="54" t="s">
        <v>77</v>
      </c>
      <c r="P226" s="54"/>
      <c r="Q226" s="54"/>
      <c r="R226" s="54"/>
      <c r="S226" s="54"/>
      <c r="T226" s="54" t="s">
        <v>69</v>
      </c>
      <c r="U226" s="54"/>
      <c r="V226" s="54">
        <v>1</v>
      </c>
      <c r="W226" s="54"/>
      <c r="X226" s="54" t="s">
        <v>499</v>
      </c>
      <c r="Y226" s="54"/>
      <c r="Z226" s="54"/>
      <c r="AA226" s="54"/>
      <c r="AB226" s="54"/>
    </row>
    <row r="227" spans="1:28" x14ac:dyDescent="0.3">
      <c r="A227" s="54">
        <v>226</v>
      </c>
      <c r="B227" s="54" t="s">
        <v>740</v>
      </c>
      <c r="C227" s="54" t="s">
        <v>104</v>
      </c>
      <c r="D227" s="54" t="s">
        <v>738</v>
      </c>
      <c r="E227" s="54" t="s">
        <v>112</v>
      </c>
      <c r="F227" s="54" t="s">
        <v>739</v>
      </c>
      <c r="G227" s="54" t="s">
        <v>487</v>
      </c>
      <c r="H227" s="54"/>
      <c r="I227" s="54">
        <v>1</v>
      </c>
      <c r="J227" s="54">
        <v>1</v>
      </c>
      <c r="K227" s="54"/>
      <c r="L227" s="54">
        <v>1</v>
      </c>
      <c r="M227" s="54">
        <v>1.36</v>
      </c>
      <c r="N227" s="54" t="s">
        <v>69</v>
      </c>
      <c r="O227" s="54" t="s">
        <v>77</v>
      </c>
      <c r="P227" s="54"/>
      <c r="Q227" s="54">
        <v>136</v>
      </c>
      <c r="R227" s="54"/>
      <c r="S227" s="54"/>
      <c r="T227" s="54" t="s">
        <v>69</v>
      </c>
      <c r="U227" s="54"/>
      <c r="V227" s="54">
        <v>1</v>
      </c>
      <c r="W227" s="54"/>
      <c r="X227" s="54" t="s">
        <v>553</v>
      </c>
      <c r="Y227" s="54"/>
      <c r="Z227" s="54"/>
      <c r="AA227" s="54"/>
      <c r="AB227" s="54"/>
    </row>
    <row r="228" spans="1:28" x14ac:dyDescent="0.3">
      <c r="A228" s="54">
        <v>227</v>
      </c>
      <c r="B228" s="54" t="s">
        <v>740</v>
      </c>
      <c r="C228" s="54" t="s">
        <v>508</v>
      </c>
      <c r="D228" s="54" t="s">
        <v>667</v>
      </c>
      <c r="E228" s="54" t="s">
        <v>75</v>
      </c>
      <c r="F228" s="54" t="s">
        <v>668</v>
      </c>
      <c r="G228" s="54" t="s">
        <v>487</v>
      </c>
      <c r="H228" s="54">
        <v>1</v>
      </c>
      <c r="I228" s="54">
        <v>1</v>
      </c>
      <c r="J228" s="54">
        <v>1</v>
      </c>
      <c r="K228" s="54">
        <v>1</v>
      </c>
      <c r="L228" s="54">
        <v>1</v>
      </c>
      <c r="M228" s="54">
        <v>1</v>
      </c>
      <c r="N228" s="54" t="s">
        <v>69</v>
      </c>
      <c r="O228" s="54" t="s">
        <v>77</v>
      </c>
      <c r="P228" s="54">
        <v>100</v>
      </c>
      <c r="Q228" s="54">
        <v>100</v>
      </c>
      <c r="R228" s="54"/>
      <c r="S228" s="70">
        <v>46239</v>
      </c>
      <c r="T228" s="54" t="s">
        <v>97</v>
      </c>
      <c r="U228" s="54"/>
      <c r="V228" s="54">
        <v>1</v>
      </c>
      <c r="W228" s="54"/>
      <c r="X228" s="54" t="s">
        <v>553</v>
      </c>
      <c r="Y228" s="54"/>
      <c r="Z228" s="54"/>
      <c r="AA228" s="54"/>
      <c r="AB228" s="54" t="s">
        <v>669</v>
      </c>
    </row>
  </sheetData>
  <autoFilter ref="A1:AB1">
    <sortState ref="A2:AB228">
      <sortCondition ref="B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N26"/>
  <sheetViews>
    <sheetView workbookViewId="0">
      <selection activeCell="K25" sqref="K25"/>
    </sheetView>
  </sheetViews>
  <sheetFormatPr defaultRowHeight="14.4" x14ac:dyDescent="0.3"/>
  <cols>
    <col min="1" max="1" width="4.88671875" bestFit="1" customWidth="1"/>
    <col min="2" max="2" width="7.33203125" customWidth="1"/>
    <col min="5" max="5" width="19.88671875" customWidth="1"/>
    <col min="13" max="13" width="12.5546875" bestFit="1" customWidth="1"/>
    <col min="14" max="14" width="81.21875" customWidth="1"/>
  </cols>
  <sheetData>
    <row r="1" spans="1:14" x14ac:dyDescent="0.3">
      <c r="A1" s="52" t="s">
        <v>886</v>
      </c>
      <c r="B1" s="52" t="s">
        <v>887</v>
      </c>
      <c r="C1" s="52" t="s">
        <v>888</v>
      </c>
      <c r="D1" s="52" t="s">
        <v>889</v>
      </c>
      <c r="E1" s="52" t="s">
        <v>44</v>
      </c>
      <c r="F1" s="52" t="s">
        <v>31</v>
      </c>
      <c r="G1" s="52" t="s">
        <v>890</v>
      </c>
      <c r="H1" s="52" t="s">
        <v>61</v>
      </c>
      <c r="I1" s="52" t="s">
        <v>47</v>
      </c>
      <c r="J1" s="52" t="s">
        <v>33</v>
      </c>
      <c r="K1" s="52" t="s">
        <v>48</v>
      </c>
      <c r="L1" s="52" t="s">
        <v>891</v>
      </c>
      <c r="M1" s="52" t="s">
        <v>63</v>
      </c>
      <c r="N1" s="52" t="s">
        <v>64</v>
      </c>
    </row>
    <row r="2" spans="1:14" hidden="1" x14ac:dyDescent="0.3">
      <c r="A2" s="54">
        <v>1</v>
      </c>
      <c r="B2" s="54" t="s">
        <v>485</v>
      </c>
      <c r="C2" s="54" t="s">
        <v>73</v>
      </c>
      <c r="D2" s="54" t="s">
        <v>74</v>
      </c>
      <c r="E2" s="54" t="s">
        <v>76</v>
      </c>
      <c r="F2" s="54" t="s">
        <v>39</v>
      </c>
      <c r="G2" s="54" t="s">
        <v>69</v>
      </c>
      <c r="H2" s="54"/>
      <c r="I2" s="54">
        <v>1</v>
      </c>
      <c r="J2" s="54">
        <v>1.26</v>
      </c>
      <c r="K2" s="54">
        <v>0.09</v>
      </c>
      <c r="L2" s="54"/>
      <c r="M2" s="54"/>
      <c r="N2" s="54"/>
    </row>
    <row r="3" spans="1:14" x14ac:dyDescent="0.3">
      <c r="A3" s="54">
        <v>25</v>
      </c>
      <c r="B3" s="54" t="s">
        <v>875</v>
      </c>
      <c r="C3" s="54" t="s">
        <v>65</v>
      </c>
      <c r="D3" s="54" t="s">
        <v>849</v>
      </c>
      <c r="E3" s="54" t="s">
        <v>850</v>
      </c>
      <c r="F3" s="54" t="s">
        <v>746</v>
      </c>
      <c r="G3" s="54" t="s">
        <v>97</v>
      </c>
      <c r="H3" s="54"/>
      <c r="I3" s="54">
        <v>2</v>
      </c>
      <c r="J3" s="54">
        <v>4</v>
      </c>
      <c r="K3" s="54">
        <v>2</v>
      </c>
      <c r="L3" s="54">
        <v>4</v>
      </c>
      <c r="M3" s="54"/>
      <c r="N3" s="54" t="s">
        <v>851</v>
      </c>
    </row>
    <row r="4" spans="1:14" hidden="1" x14ac:dyDescent="0.3">
      <c r="A4" s="54">
        <v>3</v>
      </c>
      <c r="B4" s="54" t="s">
        <v>485</v>
      </c>
      <c r="C4" s="54" t="s">
        <v>129</v>
      </c>
      <c r="D4" s="54" t="s">
        <v>130</v>
      </c>
      <c r="E4" s="54" t="s">
        <v>131</v>
      </c>
      <c r="F4" s="54" t="s">
        <v>37</v>
      </c>
      <c r="G4" s="54" t="s">
        <v>69</v>
      </c>
      <c r="H4" s="54"/>
      <c r="I4" s="54">
        <v>1</v>
      </c>
      <c r="J4" s="54">
        <v>0.78</v>
      </c>
      <c r="K4" s="54">
        <v>0.22</v>
      </c>
      <c r="L4" s="54"/>
      <c r="M4" s="54"/>
      <c r="N4" s="54"/>
    </row>
    <row r="5" spans="1:14" x14ac:dyDescent="0.3">
      <c r="A5" s="54">
        <v>26</v>
      </c>
      <c r="B5" s="54" t="s">
        <v>875</v>
      </c>
      <c r="C5" s="54" t="s">
        <v>65</v>
      </c>
      <c r="D5" s="54" t="s">
        <v>872</v>
      </c>
      <c r="E5" s="54" t="s">
        <v>873</v>
      </c>
      <c r="F5" s="54" t="s">
        <v>747</v>
      </c>
      <c r="G5" s="54" t="s">
        <v>107</v>
      </c>
      <c r="H5" s="54"/>
      <c r="I5" s="54">
        <v>2</v>
      </c>
      <c r="J5" s="54">
        <v>1.9</v>
      </c>
      <c r="K5" s="54">
        <v>2</v>
      </c>
      <c r="L5" s="54">
        <v>1.9</v>
      </c>
      <c r="M5" s="54"/>
      <c r="N5" s="54" t="s">
        <v>874</v>
      </c>
    </row>
    <row r="6" spans="1:14" hidden="1" x14ac:dyDescent="0.3">
      <c r="A6" s="54">
        <v>5</v>
      </c>
      <c r="B6" s="54" t="s">
        <v>485</v>
      </c>
      <c r="C6" s="54" t="s">
        <v>90</v>
      </c>
      <c r="D6" s="54" t="s">
        <v>170</v>
      </c>
      <c r="E6" s="54" t="s">
        <v>171</v>
      </c>
      <c r="F6" s="54" t="s">
        <v>37</v>
      </c>
      <c r="G6" s="54" t="s">
        <v>69</v>
      </c>
      <c r="H6" s="54"/>
      <c r="I6" s="54">
        <v>3</v>
      </c>
      <c r="J6" s="54">
        <v>2.4700000000000002</v>
      </c>
      <c r="K6" s="54">
        <v>0.53</v>
      </c>
      <c r="L6" s="54"/>
      <c r="M6" s="54"/>
      <c r="N6" s="54" t="s">
        <v>172</v>
      </c>
    </row>
    <row r="7" spans="1:14" x14ac:dyDescent="0.3">
      <c r="A7" s="54">
        <v>2</v>
      </c>
      <c r="B7" s="54" t="s">
        <v>485</v>
      </c>
      <c r="C7" s="54" t="s">
        <v>90</v>
      </c>
      <c r="D7" s="54" t="s">
        <v>95</v>
      </c>
      <c r="E7" s="54" t="s">
        <v>96</v>
      </c>
      <c r="F7" s="54" t="s">
        <v>39</v>
      </c>
      <c r="G7" s="54" t="s">
        <v>97</v>
      </c>
      <c r="H7" s="54"/>
      <c r="I7" s="54">
        <v>0.5</v>
      </c>
      <c r="J7" s="54">
        <v>1.48</v>
      </c>
      <c r="K7" s="54"/>
      <c r="L7" s="54">
        <v>0.41</v>
      </c>
      <c r="M7" s="54" t="s">
        <v>892</v>
      </c>
      <c r="N7" s="54" t="s">
        <v>99</v>
      </c>
    </row>
    <row r="8" spans="1:14" x14ac:dyDescent="0.3">
      <c r="A8" s="54">
        <v>12</v>
      </c>
      <c r="B8" s="54" t="s">
        <v>485</v>
      </c>
      <c r="C8" s="54" t="s">
        <v>73</v>
      </c>
      <c r="D8" s="54" t="s">
        <v>438</v>
      </c>
      <c r="E8" s="54" t="s">
        <v>439</v>
      </c>
      <c r="F8" s="54" t="s">
        <v>39</v>
      </c>
      <c r="G8" s="54" t="s">
        <v>83</v>
      </c>
      <c r="H8" s="54"/>
      <c r="I8" s="54">
        <v>1</v>
      </c>
      <c r="J8" s="54">
        <v>1.52</v>
      </c>
      <c r="K8" s="54">
        <v>1</v>
      </c>
      <c r="L8" s="54">
        <v>1.52</v>
      </c>
      <c r="M8" s="54" t="s">
        <v>892</v>
      </c>
      <c r="N8" s="54" t="s">
        <v>441</v>
      </c>
    </row>
    <row r="9" spans="1:14" x14ac:dyDescent="0.3">
      <c r="A9" s="54">
        <v>13</v>
      </c>
      <c r="B9" s="54" t="s">
        <v>740</v>
      </c>
      <c r="C9" s="54" t="s">
        <v>104</v>
      </c>
      <c r="D9" s="54" t="s">
        <v>513</v>
      </c>
      <c r="E9" s="54" t="s">
        <v>514</v>
      </c>
      <c r="F9" s="54" t="s">
        <v>486</v>
      </c>
      <c r="G9" s="54" t="s">
        <v>97</v>
      </c>
      <c r="H9" s="54"/>
      <c r="I9" s="54">
        <v>0.5</v>
      </c>
      <c r="J9" s="54">
        <v>0.49</v>
      </c>
      <c r="K9" s="54">
        <v>0.5</v>
      </c>
      <c r="L9" s="54">
        <v>0.49</v>
      </c>
      <c r="M9" s="54"/>
      <c r="N9" s="54" t="s">
        <v>515</v>
      </c>
    </row>
    <row r="10" spans="1:14" x14ac:dyDescent="0.3">
      <c r="A10" s="54">
        <v>16</v>
      </c>
      <c r="B10" s="54" t="s">
        <v>740</v>
      </c>
      <c r="C10" s="54" t="s">
        <v>104</v>
      </c>
      <c r="D10" s="54" t="s">
        <v>612</v>
      </c>
      <c r="E10" s="54" t="s">
        <v>613</v>
      </c>
      <c r="F10" s="54" t="s">
        <v>486</v>
      </c>
      <c r="G10" s="54" t="s">
        <v>97</v>
      </c>
      <c r="H10" s="54"/>
      <c r="I10" s="54">
        <v>3.5</v>
      </c>
      <c r="J10" s="54">
        <v>2.99</v>
      </c>
      <c r="K10" s="54">
        <v>1.55</v>
      </c>
      <c r="L10" s="54">
        <v>1.04</v>
      </c>
      <c r="M10" s="54"/>
      <c r="N10" s="54" t="s">
        <v>614</v>
      </c>
    </row>
    <row r="11" spans="1:14" x14ac:dyDescent="0.3">
      <c r="A11" s="54">
        <v>24</v>
      </c>
      <c r="B11" s="54" t="s">
        <v>740</v>
      </c>
      <c r="C11" s="54" t="s">
        <v>508</v>
      </c>
      <c r="D11" s="54" t="s">
        <v>704</v>
      </c>
      <c r="E11" s="54" t="s">
        <v>705</v>
      </c>
      <c r="F11" s="54" t="s">
        <v>486</v>
      </c>
      <c r="G11" s="54" t="s">
        <v>97</v>
      </c>
      <c r="H11" s="54"/>
      <c r="I11" s="54">
        <v>0.5</v>
      </c>
      <c r="J11" s="54">
        <v>0.38</v>
      </c>
      <c r="K11" s="54">
        <v>0.5</v>
      </c>
      <c r="L11" s="54">
        <v>0.38</v>
      </c>
      <c r="M11" s="54"/>
      <c r="N11" s="54" t="s">
        <v>706</v>
      </c>
    </row>
    <row r="12" spans="1:14" hidden="1" x14ac:dyDescent="0.3">
      <c r="A12" s="54">
        <v>11</v>
      </c>
      <c r="B12" s="54" t="s">
        <v>485</v>
      </c>
      <c r="C12" s="54" t="s">
        <v>73</v>
      </c>
      <c r="D12" s="54" t="s">
        <v>382</v>
      </c>
      <c r="E12" s="54" t="s">
        <v>383</v>
      </c>
      <c r="F12" s="54" t="s">
        <v>39</v>
      </c>
      <c r="G12" s="54" t="s">
        <v>69</v>
      </c>
      <c r="H12" s="54"/>
      <c r="I12" s="54">
        <v>0.5</v>
      </c>
      <c r="J12" s="54">
        <v>0.65</v>
      </c>
      <c r="K12" s="54">
        <v>0.5</v>
      </c>
      <c r="L12" s="54">
        <v>0.65</v>
      </c>
      <c r="M12" s="54"/>
      <c r="N12" s="54"/>
    </row>
    <row r="13" spans="1:14" x14ac:dyDescent="0.3">
      <c r="A13" s="54">
        <v>7</v>
      </c>
      <c r="B13" s="54" t="s">
        <v>485</v>
      </c>
      <c r="C13" s="54" t="s">
        <v>90</v>
      </c>
      <c r="D13" s="54" t="s">
        <v>266</v>
      </c>
      <c r="E13" s="54" t="s">
        <v>267</v>
      </c>
      <c r="F13" s="54" t="s">
        <v>40</v>
      </c>
      <c r="G13" s="54" t="s">
        <v>97</v>
      </c>
      <c r="H13" s="54"/>
      <c r="I13" s="54">
        <v>0.75</v>
      </c>
      <c r="J13" s="54">
        <v>0.85</v>
      </c>
      <c r="K13" s="54">
        <v>0.75</v>
      </c>
      <c r="L13" s="54">
        <v>0.85</v>
      </c>
      <c r="M13" s="54" t="s">
        <v>892</v>
      </c>
      <c r="N13" s="54" t="s">
        <v>269</v>
      </c>
    </row>
    <row r="14" spans="1:14" x14ac:dyDescent="0.3">
      <c r="A14" s="54">
        <v>9</v>
      </c>
      <c r="B14" s="54" t="s">
        <v>485</v>
      </c>
      <c r="C14" s="54" t="s">
        <v>178</v>
      </c>
      <c r="D14" s="54" t="s">
        <v>343</v>
      </c>
      <c r="E14" s="54" t="s">
        <v>344</v>
      </c>
      <c r="F14" s="54" t="s">
        <v>40</v>
      </c>
      <c r="G14" s="54" t="s">
        <v>107</v>
      </c>
      <c r="H14" s="54"/>
      <c r="I14" s="54">
        <v>1</v>
      </c>
      <c r="J14" s="54">
        <v>18.79</v>
      </c>
      <c r="K14" s="54">
        <v>1</v>
      </c>
      <c r="L14" s="54">
        <v>18.79</v>
      </c>
      <c r="M14" s="54" t="s">
        <v>892</v>
      </c>
      <c r="N14" s="54" t="s">
        <v>347</v>
      </c>
    </row>
    <row r="15" spans="1:14" hidden="1" x14ac:dyDescent="0.3">
      <c r="A15" s="54">
        <v>14</v>
      </c>
      <c r="B15" s="54" t="s">
        <v>740</v>
      </c>
      <c r="C15" s="54" t="s">
        <v>545</v>
      </c>
      <c r="D15" s="54" t="s">
        <v>546</v>
      </c>
      <c r="E15" s="54" t="s">
        <v>547</v>
      </c>
      <c r="F15" s="54" t="s">
        <v>486</v>
      </c>
      <c r="G15" s="54" t="s">
        <v>69</v>
      </c>
      <c r="H15" s="54">
        <v>1</v>
      </c>
      <c r="I15" s="54">
        <v>1</v>
      </c>
      <c r="J15" s="54">
        <v>1.17</v>
      </c>
      <c r="K15" s="54"/>
      <c r="L15" s="54"/>
      <c r="M15" s="54"/>
      <c r="N15" s="54" t="s">
        <v>549</v>
      </c>
    </row>
    <row r="16" spans="1:14" x14ac:dyDescent="0.3">
      <c r="A16" s="54">
        <v>4</v>
      </c>
      <c r="B16" s="54" t="s">
        <v>485</v>
      </c>
      <c r="C16" s="54" t="s">
        <v>164</v>
      </c>
      <c r="D16" s="54" t="s">
        <v>165</v>
      </c>
      <c r="E16" s="54" t="s">
        <v>166</v>
      </c>
      <c r="F16" s="54" t="s">
        <v>37</v>
      </c>
      <c r="G16" s="54" t="s">
        <v>107</v>
      </c>
      <c r="H16" s="54"/>
      <c r="I16" s="54">
        <v>3</v>
      </c>
      <c r="J16" s="54">
        <v>1.46</v>
      </c>
      <c r="K16" s="54">
        <v>3</v>
      </c>
      <c r="L16" s="54">
        <v>1.46</v>
      </c>
      <c r="M16" s="54" t="s">
        <v>899</v>
      </c>
      <c r="N16" s="54" t="s">
        <v>169</v>
      </c>
    </row>
    <row r="17" spans="1:14" x14ac:dyDescent="0.3">
      <c r="A17" s="54">
        <v>8</v>
      </c>
      <c r="B17" s="54" t="s">
        <v>485</v>
      </c>
      <c r="C17" s="54" t="s">
        <v>90</v>
      </c>
      <c r="D17" s="54" t="s">
        <v>297</v>
      </c>
      <c r="E17" s="54" t="s">
        <v>298</v>
      </c>
      <c r="F17" s="54" t="s">
        <v>37</v>
      </c>
      <c r="G17" s="54" t="s">
        <v>97</v>
      </c>
      <c r="H17" s="54"/>
      <c r="I17" s="54">
        <v>1</v>
      </c>
      <c r="J17" s="54">
        <v>0.73</v>
      </c>
      <c r="K17" s="54">
        <v>1</v>
      </c>
      <c r="L17" s="54">
        <v>0.73</v>
      </c>
      <c r="M17" s="54" t="s">
        <v>897</v>
      </c>
      <c r="N17" s="54" t="s">
        <v>299</v>
      </c>
    </row>
    <row r="18" spans="1:14" x14ac:dyDescent="0.3">
      <c r="A18" s="54">
        <v>15</v>
      </c>
      <c r="B18" s="54" t="s">
        <v>740</v>
      </c>
      <c r="C18" s="54" t="s">
        <v>596</v>
      </c>
      <c r="D18" s="54" t="s">
        <v>597</v>
      </c>
      <c r="E18" s="54" t="s">
        <v>598</v>
      </c>
      <c r="F18" s="54" t="s">
        <v>487</v>
      </c>
      <c r="G18" s="54" t="s">
        <v>83</v>
      </c>
      <c r="H18" s="54"/>
      <c r="I18" s="54">
        <v>4</v>
      </c>
      <c r="J18" s="54">
        <v>7.89</v>
      </c>
      <c r="K18" s="54"/>
      <c r="L18" s="54">
        <v>0.23</v>
      </c>
      <c r="M18" s="54" t="s">
        <v>892</v>
      </c>
      <c r="N18" s="54" t="s">
        <v>601</v>
      </c>
    </row>
    <row r="19" spans="1:14" hidden="1" x14ac:dyDescent="0.3">
      <c r="A19" s="54">
        <v>19</v>
      </c>
      <c r="B19" s="54" t="s">
        <v>740</v>
      </c>
      <c r="C19" s="54" t="s">
        <v>631</v>
      </c>
      <c r="D19" s="54" t="s">
        <v>664</v>
      </c>
      <c r="E19" s="54" t="s">
        <v>665</v>
      </c>
      <c r="F19" s="54" t="s">
        <v>487</v>
      </c>
      <c r="G19" s="54" t="s">
        <v>69</v>
      </c>
      <c r="H19" s="54"/>
      <c r="I19" s="54">
        <v>0.5</v>
      </c>
      <c r="J19" s="54"/>
      <c r="K19" s="54">
        <v>1</v>
      </c>
      <c r="L19" s="54"/>
      <c r="M19" s="54"/>
      <c r="N19" s="54"/>
    </row>
    <row r="20" spans="1:14" x14ac:dyDescent="0.3">
      <c r="A20" s="54">
        <v>17</v>
      </c>
      <c r="B20" s="54" t="s">
        <v>740</v>
      </c>
      <c r="C20" s="54" t="s">
        <v>104</v>
      </c>
      <c r="D20" s="54" t="s">
        <v>620</v>
      </c>
      <c r="E20" s="54" t="s">
        <v>621</v>
      </c>
      <c r="F20" s="54" t="s">
        <v>487</v>
      </c>
      <c r="G20" s="54" t="s">
        <v>97</v>
      </c>
      <c r="H20" s="54"/>
      <c r="I20" s="54">
        <v>0.5</v>
      </c>
      <c r="J20" s="54">
        <v>0.5</v>
      </c>
      <c r="K20" s="54">
        <v>0.5</v>
      </c>
      <c r="L20" s="54">
        <v>0.5</v>
      </c>
      <c r="M20" s="54" t="s">
        <v>898</v>
      </c>
      <c r="N20" s="54" t="s">
        <v>622</v>
      </c>
    </row>
    <row r="21" spans="1:14" hidden="1" x14ac:dyDescent="0.3">
      <c r="A21" s="54">
        <v>21</v>
      </c>
      <c r="B21" s="54" t="s">
        <v>740</v>
      </c>
      <c r="C21" s="54" t="s">
        <v>73</v>
      </c>
      <c r="D21" s="54" t="s">
        <v>692</v>
      </c>
      <c r="E21" s="54" t="s">
        <v>693</v>
      </c>
      <c r="F21" s="54" t="s">
        <v>486</v>
      </c>
      <c r="G21" s="54" t="s">
        <v>69</v>
      </c>
      <c r="H21" s="54"/>
      <c r="I21" s="54">
        <v>0.5</v>
      </c>
      <c r="J21" s="54">
        <v>0.24</v>
      </c>
      <c r="K21" s="54">
        <v>0.5</v>
      </c>
      <c r="L21" s="54">
        <v>0.24</v>
      </c>
      <c r="M21" s="54"/>
      <c r="N21" s="54" t="s">
        <v>695</v>
      </c>
    </row>
    <row r="22" spans="1:14" hidden="1" x14ac:dyDescent="0.3">
      <c r="A22" s="54">
        <v>22</v>
      </c>
      <c r="B22" s="54" t="s">
        <v>740</v>
      </c>
      <c r="C22" s="54" t="s">
        <v>73</v>
      </c>
      <c r="D22" s="54" t="s">
        <v>696</v>
      </c>
      <c r="E22" s="54" t="s">
        <v>697</v>
      </c>
      <c r="F22" s="54" t="s">
        <v>486</v>
      </c>
      <c r="G22" s="54" t="s">
        <v>69</v>
      </c>
      <c r="H22" s="54"/>
      <c r="I22" s="54">
        <v>1.5</v>
      </c>
      <c r="J22" s="54">
        <v>0.28999999999999998</v>
      </c>
      <c r="K22" s="54">
        <v>1.5</v>
      </c>
      <c r="L22" s="54">
        <v>0.28999999999999998</v>
      </c>
      <c r="M22" s="54"/>
      <c r="N22" s="54"/>
    </row>
    <row r="23" spans="1:14" hidden="1" x14ac:dyDescent="0.3">
      <c r="A23" s="54">
        <v>23</v>
      </c>
      <c r="B23" s="54" t="s">
        <v>740</v>
      </c>
      <c r="C23" s="54" t="s">
        <v>73</v>
      </c>
      <c r="D23" s="54" t="s">
        <v>698</v>
      </c>
      <c r="E23" s="54" t="s">
        <v>699</v>
      </c>
      <c r="F23" s="54" t="s">
        <v>486</v>
      </c>
      <c r="G23" s="54" t="s">
        <v>69</v>
      </c>
      <c r="H23" s="54"/>
      <c r="I23" s="54">
        <v>0.5</v>
      </c>
      <c r="J23" s="54">
        <v>0.38</v>
      </c>
      <c r="K23" s="54">
        <v>0.5</v>
      </c>
      <c r="L23" s="54">
        <v>0.38</v>
      </c>
      <c r="M23" s="54"/>
      <c r="N23" s="54"/>
    </row>
    <row r="24" spans="1:14" x14ac:dyDescent="0.3">
      <c r="A24" s="54">
        <v>18</v>
      </c>
      <c r="B24" s="54" t="s">
        <v>740</v>
      </c>
      <c r="C24" s="54" t="s">
        <v>508</v>
      </c>
      <c r="D24" s="54" t="s">
        <v>628</v>
      </c>
      <c r="E24" s="54" t="s">
        <v>629</v>
      </c>
      <c r="F24" s="54" t="s">
        <v>487</v>
      </c>
      <c r="G24" s="54" t="s">
        <v>97</v>
      </c>
      <c r="H24" s="54"/>
      <c r="I24" s="54">
        <v>0.5</v>
      </c>
      <c r="J24" s="54">
        <v>0.48</v>
      </c>
      <c r="K24" s="54">
        <v>0.5</v>
      </c>
      <c r="L24" s="54">
        <v>0.48</v>
      </c>
      <c r="M24" s="54" t="s">
        <v>898</v>
      </c>
      <c r="N24" s="54" t="s">
        <v>630</v>
      </c>
    </row>
    <row r="25" spans="1:14" x14ac:dyDescent="0.3">
      <c r="A25" s="54">
        <v>20</v>
      </c>
      <c r="B25" s="54" t="s">
        <v>740</v>
      </c>
      <c r="C25" s="54" t="s">
        <v>508</v>
      </c>
      <c r="D25" s="54" t="s">
        <v>667</v>
      </c>
      <c r="E25" s="54" t="s">
        <v>668</v>
      </c>
      <c r="F25" s="54" t="s">
        <v>487</v>
      </c>
      <c r="G25" s="54" t="s">
        <v>97</v>
      </c>
      <c r="H25" s="54"/>
      <c r="I25" s="54">
        <v>1</v>
      </c>
      <c r="J25" s="54">
        <v>1</v>
      </c>
      <c r="K25" s="54">
        <v>1</v>
      </c>
      <c r="L25" s="54">
        <v>1</v>
      </c>
      <c r="M25" s="54" t="s">
        <v>892</v>
      </c>
      <c r="N25" s="54" t="s">
        <v>669</v>
      </c>
    </row>
    <row r="26" spans="1:14" x14ac:dyDescent="0.3">
      <c r="A26" s="54">
        <v>10</v>
      </c>
      <c r="B26" s="54" t="s">
        <v>485</v>
      </c>
      <c r="C26" s="54" t="s">
        <v>178</v>
      </c>
      <c r="D26" s="54" t="s">
        <v>378</v>
      </c>
      <c r="E26" s="54" t="s">
        <v>379</v>
      </c>
      <c r="F26" s="54" t="s">
        <v>38</v>
      </c>
      <c r="G26" s="54" t="s">
        <v>107</v>
      </c>
      <c r="H26" s="54"/>
      <c r="I26" s="54">
        <v>0.75</v>
      </c>
      <c r="J26" s="54">
        <v>1</v>
      </c>
      <c r="K26" s="54">
        <v>0.75</v>
      </c>
      <c r="L26" s="54">
        <v>1.01</v>
      </c>
      <c r="M26" s="54" t="s">
        <v>892</v>
      </c>
      <c r="N26" s="54" t="s">
        <v>381</v>
      </c>
    </row>
  </sheetData>
  <autoFilter ref="A1:N26">
    <filterColumn colId="6">
      <filters>
        <filter val="Client Review"/>
        <filter val="Completed"/>
        <filter val="Pending Review"/>
      </filters>
    </filterColumn>
    <sortState ref="A3:N27">
      <sortCondition ref="F1:F27"/>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8"/>
  <sheetViews>
    <sheetView workbookViewId="0">
      <selection activeCell="F16" sqref="F16"/>
    </sheetView>
  </sheetViews>
  <sheetFormatPr defaultRowHeight="14.4" x14ac:dyDescent="0.3"/>
  <sheetData>
    <row r="1" spans="1:16" x14ac:dyDescent="0.3">
      <c r="A1" s="53" t="s">
        <v>886</v>
      </c>
      <c r="B1" s="53" t="s">
        <v>887</v>
      </c>
      <c r="C1" s="53" t="s">
        <v>888</v>
      </c>
      <c r="D1" s="53" t="s">
        <v>889</v>
      </c>
      <c r="E1" s="53" t="s">
        <v>43</v>
      </c>
      <c r="F1" s="53" t="s">
        <v>44</v>
      </c>
      <c r="G1" s="53" t="s">
        <v>31</v>
      </c>
      <c r="H1" s="53" t="s">
        <v>45</v>
      </c>
      <c r="I1" s="53" t="s">
        <v>47</v>
      </c>
      <c r="J1" s="53" t="s">
        <v>50</v>
      </c>
      <c r="K1" s="53" t="s">
        <v>51</v>
      </c>
    </row>
    <row r="2" spans="1:16" x14ac:dyDescent="0.3">
      <c r="A2" s="54">
        <v>1</v>
      </c>
      <c r="B2" s="54" t="s">
        <v>485</v>
      </c>
      <c r="C2" s="54" t="s">
        <v>65</v>
      </c>
      <c r="D2" s="54" t="s">
        <v>100</v>
      </c>
      <c r="E2" s="54" t="s">
        <v>101</v>
      </c>
      <c r="F2" s="54" t="s">
        <v>102</v>
      </c>
      <c r="G2" s="54" t="s">
        <v>39</v>
      </c>
      <c r="H2" s="54">
        <v>26</v>
      </c>
      <c r="I2" s="54">
        <v>8</v>
      </c>
      <c r="J2" s="54" t="s">
        <v>69</v>
      </c>
      <c r="K2" s="54" t="s">
        <v>77</v>
      </c>
      <c r="L2" s="34"/>
      <c r="M2" s="34"/>
      <c r="N2" s="35"/>
      <c r="O2" s="34"/>
      <c r="P2" s="34"/>
    </row>
    <row r="3" spans="1:16" x14ac:dyDescent="0.3">
      <c r="A3" s="54">
        <v>2</v>
      </c>
      <c r="B3" s="54" t="s">
        <v>485</v>
      </c>
      <c r="C3" s="54" t="s">
        <v>90</v>
      </c>
      <c r="D3" s="54" t="s">
        <v>137</v>
      </c>
      <c r="E3" s="54" t="s">
        <v>101</v>
      </c>
      <c r="F3" s="54" t="s">
        <v>138</v>
      </c>
      <c r="G3" s="54" t="s">
        <v>37</v>
      </c>
      <c r="H3" s="54">
        <v>27</v>
      </c>
      <c r="I3" s="54">
        <v>1</v>
      </c>
      <c r="J3" s="54" t="s">
        <v>69</v>
      </c>
      <c r="K3" s="54" t="s">
        <v>82</v>
      </c>
      <c r="L3" s="34"/>
      <c r="M3" s="34"/>
      <c r="N3" s="35"/>
      <c r="O3" s="34"/>
      <c r="P3" s="34"/>
    </row>
    <row r="4" spans="1:16" x14ac:dyDescent="0.3">
      <c r="A4" s="54">
        <v>3</v>
      </c>
      <c r="B4" s="54" t="s">
        <v>485</v>
      </c>
      <c r="C4" s="54" t="s">
        <v>90</v>
      </c>
      <c r="D4" s="54" t="s">
        <v>142</v>
      </c>
      <c r="E4" s="54" t="s">
        <v>143</v>
      </c>
      <c r="F4" s="54" t="s">
        <v>144</v>
      </c>
      <c r="G4" s="54" t="s">
        <v>37</v>
      </c>
      <c r="H4" s="54">
        <v>27</v>
      </c>
      <c r="I4" s="54">
        <v>0.5</v>
      </c>
      <c r="J4" s="54" t="s">
        <v>69</v>
      </c>
      <c r="K4" s="54" t="s">
        <v>82</v>
      </c>
      <c r="L4" s="34"/>
      <c r="M4" s="34"/>
      <c r="N4" s="35"/>
      <c r="O4" s="34"/>
      <c r="P4" s="34"/>
    </row>
    <row r="5" spans="1:16" x14ac:dyDescent="0.3">
      <c r="A5" s="54">
        <v>4</v>
      </c>
      <c r="B5" s="54" t="s">
        <v>485</v>
      </c>
      <c r="C5" s="54" t="s">
        <v>90</v>
      </c>
      <c r="D5" s="54" t="s">
        <v>145</v>
      </c>
      <c r="E5" s="54" t="s">
        <v>143</v>
      </c>
      <c r="F5" s="54" t="s">
        <v>146</v>
      </c>
      <c r="G5" s="54" t="s">
        <v>37</v>
      </c>
      <c r="H5" s="54">
        <v>27</v>
      </c>
      <c r="I5" s="54">
        <v>2</v>
      </c>
      <c r="J5" s="54" t="s">
        <v>69</v>
      </c>
      <c r="K5" s="54" t="s">
        <v>82</v>
      </c>
      <c r="L5" s="34"/>
      <c r="M5" s="34"/>
      <c r="N5" s="35"/>
      <c r="O5" s="34"/>
      <c r="P5" s="34"/>
    </row>
    <row r="6" spans="1:16" x14ac:dyDescent="0.3">
      <c r="A6" s="54">
        <v>5</v>
      </c>
      <c r="B6" s="54" t="s">
        <v>485</v>
      </c>
      <c r="C6" s="54" t="s">
        <v>90</v>
      </c>
      <c r="D6" s="54" t="s">
        <v>151</v>
      </c>
      <c r="E6" s="54" t="s">
        <v>125</v>
      </c>
      <c r="F6" s="54" t="s">
        <v>152</v>
      </c>
      <c r="G6" s="54" t="s">
        <v>37</v>
      </c>
      <c r="H6" s="54">
        <v>27</v>
      </c>
      <c r="I6" s="54">
        <v>4</v>
      </c>
      <c r="J6" s="54" t="s">
        <v>69</v>
      </c>
      <c r="K6" s="54" t="s">
        <v>82</v>
      </c>
      <c r="L6" s="34"/>
      <c r="M6" s="34"/>
      <c r="N6" s="35"/>
      <c r="O6" s="34"/>
      <c r="P6" s="34"/>
    </row>
    <row r="7" spans="1:16" x14ac:dyDescent="0.3">
      <c r="A7" s="54">
        <v>6</v>
      </c>
      <c r="B7" s="54" t="s">
        <v>485</v>
      </c>
      <c r="C7" s="54" t="s">
        <v>90</v>
      </c>
      <c r="D7" s="54" t="s">
        <v>159</v>
      </c>
      <c r="E7" s="54" t="s">
        <v>143</v>
      </c>
      <c r="F7" s="54" t="s">
        <v>160</v>
      </c>
      <c r="G7" s="54" t="s">
        <v>37</v>
      </c>
      <c r="H7" s="54">
        <v>27</v>
      </c>
      <c r="I7" s="54">
        <v>1</v>
      </c>
      <c r="J7" s="54" t="s">
        <v>69</v>
      </c>
      <c r="K7" s="54" t="s">
        <v>82</v>
      </c>
      <c r="L7" s="34"/>
      <c r="M7" s="34"/>
      <c r="N7" s="35"/>
      <c r="O7" s="34"/>
      <c r="P7" s="34"/>
    </row>
    <row r="8" spans="1:16" x14ac:dyDescent="0.3">
      <c r="A8" s="54">
        <v>7</v>
      </c>
      <c r="B8" s="54" t="s">
        <v>485</v>
      </c>
      <c r="C8" s="54" t="s">
        <v>90</v>
      </c>
      <c r="D8" s="54" t="s">
        <v>162</v>
      </c>
      <c r="E8" s="54" t="s">
        <v>143</v>
      </c>
      <c r="F8" s="54" t="s">
        <v>163</v>
      </c>
      <c r="G8" s="54" t="s">
        <v>37</v>
      </c>
      <c r="H8" s="54">
        <v>27</v>
      </c>
      <c r="I8" s="54">
        <v>1</v>
      </c>
      <c r="J8" s="54" t="s">
        <v>69</v>
      </c>
      <c r="K8" s="54" t="s">
        <v>82</v>
      </c>
      <c r="L8" s="34"/>
      <c r="M8" s="34"/>
      <c r="N8" s="35"/>
      <c r="O8" s="34"/>
      <c r="P8" s="34"/>
    </row>
    <row r="9" spans="1:16" x14ac:dyDescent="0.3">
      <c r="A9" s="54">
        <v>8</v>
      </c>
      <c r="B9" s="54" t="s">
        <v>485</v>
      </c>
      <c r="C9" s="54" t="s">
        <v>90</v>
      </c>
      <c r="D9" s="54" t="s">
        <v>176</v>
      </c>
      <c r="E9" s="54" t="s">
        <v>143</v>
      </c>
      <c r="F9" s="54" t="s">
        <v>177</v>
      </c>
      <c r="G9" s="54" t="s">
        <v>37</v>
      </c>
      <c r="H9" s="54">
        <v>156</v>
      </c>
      <c r="I9" s="54">
        <v>3</v>
      </c>
      <c r="J9" s="54" t="s">
        <v>69</v>
      </c>
      <c r="K9" s="54" t="s">
        <v>77</v>
      </c>
      <c r="L9" s="34"/>
      <c r="M9" s="34"/>
      <c r="N9" s="35"/>
      <c r="O9" s="34"/>
      <c r="P9" s="34"/>
    </row>
    <row r="10" spans="1:16" x14ac:dyDescent="0.3">
      <c r="A10" s="54">
        <v>9</v>
      </c>
      <c r="B10" s="54" t="s">
        <v>485</v>
      </c>
      <c r="C10" s="54" t="s">
        <v>65</v>
      </c>
      <c r="D10" s="54" t="s">
        <v>184</v>
      </c>
      <c r="E10" s="54" t="s">
        <v>112</v>
      </c>
      <c r="F10" s="54" t="s">
        <v>185</v>
      </c>
      <c r="G10" s="54" t="s">
        <v>38</v>
      </c>
      <c r="H10" s="54">
        <v>11</v>
      </c>
      <c r="I10" s="54">
        <v>3</v>
      </c>
      <c r="J10" s="54" t="s">
        <v>69</v>
      </c>
      <c r="K10" s="54" t="s">
        <v>82</v>
      </c>
      <c r="L10" s="34"/>
      <c r="M10" s="34"/>
      <c r="N10" s="35"/>
      <c r="O10" s="35"/>
      <c r="P10" s="34"/>
    </row>
    <row r="11" spans="1:16" x14ac:dyDescent="0.3">
      <c r="A11" s="54">
        <v>10</v>
      </c>
      <c r="B11" s="54" t="s">
        <v>485</v>
      </c>
      <c r="C11" s="54" t="s">
        <v>90</v>
      </c>
      <c r="D11" s="54" t="s">
        <v>276</v>
      </c>
      <c r="E11" s="54" t="s">
        <v>101</v>
      </c>
      <c r="F11" s="54" t="s">
        <v>277</v>
      </c>
      <c r="G11" s="54" t="s">
        <v>40</v>
      </c>
      <c r="H11" s="54">
        <v>6</v>
      </c>
      <c r="I11" s="54">
        <v>1</v>
      </c>
      <c r="J11" s="54" t="s">
        <v>69</v>
      </c>
      <c r="K11" s="54" t="s">
        <v>82</v>
      </c>
      <c r="L11" s="34"/>
      <c r="M11" s="34"/>
      <c r="N11" s="34"/>
      <c r="O11" s="35"/>
      <c r="P11" s="34"/>
    </row>
    <row r="12" spans="1:16" x14ac:dyDescent="0.3">
      <c r="A12" s="54">
        <v>11</v>
      </c>
      <c r="B12" s="54" t="s">
        <v>485</v>
      </c>
      <c r="C12" s="54" t="s">
        <v>90</v>
      </c>
      <c r="D12" s="54" t="s">
        <v>348</v>
      </c>
      <c r="E12" s="54" t="s">
        <v>125</v>
      </c>
      <c r="F12" s="54" t="s">
        <v>349</v>
      </c>
      <c r="G12" s="54" t="s">
        <v>37</v>
      </c>
      <c r="H12" s="54">
        <v>4</v>
      </c>
      <c r="I12" s="54">
        <v>2</v>
      </c>
      <c r="J12" s="54" t="s">
        <v>69</v>
      </c>
      <c r="K12" s="54" t="s">
        <v>77</v>
      </c>
      <c r="L12" s="34"/>
      <c r="M12" s="34"/>
      <c r="N12" s="34"/>
      <c r="O12" s="35"/>
      <c r="P12" s="34"/>
    </row>
    <row r="13" spans="1:16" x14ac:dyDescent="0.3">
      <c r="A13" s="54">
        <v>12</v>
      </c>
      <c r="B13" s="54" t="s">
        <v>485</v>
      </c>
      <c r="C13" s="54" t="s">
        <v>405</v>
      </c>
      <c r="D13" s="54" t="s">
        <v>470</v>
      </c>
      <c r="E13" s="54" t="s">
        <v>101</v>
      </c>
      <c r="F13" s="54" t="s">
        <v>471</v>
      </c>
      <c r="G13" s="54" t="s">
        <v>38</v>
      </c>
      <c r="H13" s="54">
        <v>2</v>
      </c>
      <c r="I13" s="54">
        <v>4</v>
      </c>
      <c r="J13" s="54" t="s">
        <v>69</v>
      </c>
      <c r="K13" s="54" t="s">
        <v>82</v>
      </c>
      <c r="L13" s="34"/>
      <c r="M13" s="34"/>
      <c r="N13" s="34"/>
      <c r="O13" s="35"/>
      <c r="P13" s="34"/>
    </row>
    <row r="14" spans="1:16" x14ac:dyDescent="0.3">
      <c r="A14" s="54">
        <v>13</v>
      </c>
      <c r="B14" s="54" t="s">
        <v>740</v>
      </c>
      <c r="C14" s="54" t="s">
        <v>104</v>
      </c>
      <c r="D14" s="54" t="s">
        <v>489</v>
      </c>
      <c r="E14" s="54" t="s">
        <v>490</v>
      </c>
      <c r="F14" s="54" t="s">
        <v>491</v>
      </c>
      <c r="G14" s="54" t="s">
        <v>488</v>
      </c>
      <c r="H14" s="54">
        <v>7</v>
      </c>
      <c r="I14" s="54">
        <v>0.5</v>
      </c>
      <c r="J14" s="54" t="s">
        <v>69</v>
      </c>
      <c r="K14" s="54" t="s">
        <v>77</v>
      </c>
      <c r="L14" s="34"/>
      <c r="M14" s="34"/>
      <c r="N14" s="35"/>
      <c r="O14" s="35"/>
      <c r="P14" s="34"/>
    </row>
    <row r="15" spans="1:16" x14ac:dyDescent="0.3">
      <c r="A15" s="54">
        <v>14</v>
      </c>
      <c r="B15" s="54" t="s">
        <v>740</v>
      </c>
      <c r="C15" s="54" t="s">
        <v>65</v>
      </c>
      <c r="D15" s="54" t="s">
        <v>523</v>
      </c>
      <c r="E15" s="54" t="s">
        <v>101</v>
      </c>
      <c r="F15" s="54" t="s">
        <v>524</v>
      </c>
      <c r="G15" s="54" t="s">
        <v>486</v>
      </c>
      <c r="H15" s="54">
        <v>10</v>
      </c>
      <c r="I15" s="54">
        <v>3</v>
      </c>
      <c r="J15" s="54" t="s">
        <v>69</v>
      </c>
      <c r="K15" s="54" t="s">
        <v>82</v>
      </c>
      <c r="L15" s="34"/>
      <c r="M15" s="34"/>
      <c r="N15" s="35"/>
      <c r="O15" s="35"/>
      <c r="P15" s="34"/>
    </row>
    <row r="16" spans="1:16" x14ac:dyDescent="0.3">
      <c r="A16" s="54">
        <v>15</v>
      </c>
      <c r="B16" s="54" t="s">
        <v>740</v>
      </c>
      <c r="C16" s="54" t="s">
        <v>538</v>
      </c>
      <c r="D16" s="54" t="s">
        <v>539</v>
      </c>
      <c r="E16" s="54" t="s">
        <v>80</v>
      </c>
      <c r="F16" s="54" t="s">
        <v>540</v>
      </c>
      <c r="G16" s="54" t="s">
        <v>486</v>
      </c>
      <c r="H16" s="54">
        <v>36</v>
      </c>
      <c r="I16" s="54">
        <v>4</v>
      </c>
      <c r="J16" s="54" t="s">
        <v>69</v>
      </c>
      <c r="K16" s="54" t="s">
        <v>82</v>
      </c>
      <c r="L16" s="34"/>
      <c r="M16" s="34"/>
      <c r="N16" s="35"/>
      <c r="O16" s="35"/>
      <c r="P16" s="34"/>
    </row>
    <row r="17" spans="1:16" x14ac:dyDescent="0.3">
      <c r="A17" s="54">
        <v>16</v>
      </c>
      <c r="B17" s="54" t="s">
        <v>740</v>
      </c>
      <c r="C17" s="54" t="s">
        <v>65</v>
      </c>
      <c r="D17" s="54" t="s">
        <v>567</v>
      </c>
      <c r="E17" s="54" t="s">
        <v>67</v>
      </c>
      <c r="F17" s="54" t="s">
        <v>568</v>
      </c>
      <c r="G17" s="54" t="s">
        <v>487</v>
      </c>
      <c r="H17" s="54">
        <v>11</v>
      </c>
      <c r="I17" s="54">
        <v>3</v>
      </c>
      <c r="J17" s="54" t="s">
        <v>69</v>
      </c>
      <c r="K17" s="54" t="s">
        <v>82</v>
      </c>
      <c r="L17" s="34"/>
      <c r="M17" s="34"/>
      <c r="N17" s="35"/>
      <c r="O17" s="35"/>
      <c r="P17" s="34"/>
    </row>
    <row r="18" spans="1:16" x14ac:dyDescent="0.3">
      <c r="A18" s="54">
        <v>17</v>
      </c>
      <c r="B18" s="54" t="s">
        <v>740</v>
      </c>
      <c r="C18" s="54" t="s">
        <v>65</v>
      </c>
      <c r="D18" s="54" t="s">
        <v>582</v>
      </c>
      <c r="E18" s="54" t="s">
        <v>101</v>
      </c>
      <c r="F18" s="54" t="s">
        <v>583</v>
      </c>
      <c r="G18" s="54" t="s">
        <v>487</v>
      </c>
      <c r="H18" s="54">
        <v>81</v>
      </c>
      <c r="I18" s="54">
        <v>5</v>
      </c>
      <c r="J18" s="54" t="s">
        <v>69</v>
      </c>
      <c r="K18" s="54" t="s">
        <v>82</v>
      </c>
      <c r="L18" s="34"/>
      <c r="M18" s="34"/>
      <c r="N18" s="35"/>
      <c r="O18" s="35"/>
      <c r="P18" s="34"/>
    </row>
    <row r="19" spans="1:16" x14ac:dyDescent="0.3">
      <c r="A19" s="54">
        <v>18</v>
      </c>
      <c r="B19" s="54" t="s">
        <v>740</v>
      </c>
      <c r="C19" s="54" t="s">
        <v>104</v>
      </c>
      <c r="D19" s="54" t="s">
        <v>584</v>
      </c>
      <c r="E19" s="54" t="s">
        <v>112</v>
      </c>
      <c r="F19" s="54" t="s">
        <v>585</v>
      </c>
      <c r="G19" s="54" t="s">
        <v>488</v>
      </c>
      <c r="H19" s="54">
        <v>6</v>
      </c>
      <c r="I19" s="54">
        <v>7</v>
      </c>
      <c r="J19" s="54" t="s">
        <v>69</v>
      </c>
      <c r="K19" s="54" t="s">
        <v>82</v>
      </c>
      <c r="L19" s="34"/>
      <c r="M19" s="34"/>
      <c r="N19" s="34"/>
      <c r="O19" s="35"/>
      <c r="P19" s="34"/>
    </row>
    <row r="20" spans="1:16" x14ac:dyDescent="0.3">
      <c r="A20" s="54">
        <v>19</v>
      </c>
      <c r="B20" s="54" t="s">
        <v>740</v>
      </c>
      <c r="C20" s="54" t="s">
        <v>631</v>
      </c>
      <c r="D20" s="54" t="s">
        <v>664</v>
      </c>
      <c r="E20" s="54" t="s">
        <v>75</v>
      </c>
      <c r="F20" s="54" t="s">
        <v>665</v>
      </c>
      <c r="G20" s="54" t="s">
        <v>487</v>
      </c>
      <c r="H20" s="54">
        <v>3</v>
      </c>
      <c r="I20" s="54">
        <v>0.5</v>
      </c>
      <c r="J20" s="54" t="s">
        <v>69</v>
      </c>
      <c r="K20" s="54" t="s">
        <v>82</v>
      </c>
      <c r="L20" s="34"/>
      <c r="M20" s="34"/>
      <c r="N20" s="34"/>
      <c r="O20" s="35"/>
      <c r="P20" s="34"/>
    </row>
    <row r="21" spans="1:16" x14ac:dyDescent="0.3">
      <c r="A21" s="54">
        <v>20</v>
      </c>
      <c r="B21" s="54" t="s">
        <v>740</v>
      </c>
      <c r="C21" s="54" t="s">
        <v>586</v>
      </c>
      <c r="D21" s="54" t="s">
        <v>683</v>
      </c>
      <c r="E21" s="54" t="s">
        <v>67</v>
      </c>
      <c r="F21" s="54" t="s">
        <v>684</v>
      </c>
      <c r="G21" s="54" t="s">
        <v>487</v>
      </c>
      <c r="H21" s="54">
        <v>1</v>
      </c>
      <c r="I21" s="54">
        <v>4</v>
      </c>
      <c r="J21" s="54" t="s">
        <v>69</v>
      </c>
      <c r="K21" s="54" t="s">
        <v>82</v>
      </c>
      <c r="L21" s="34"/>
      <c r="M21" s="34"/>
      <c r="N21" s="34"/>
      <c r="O21" s="35"/>
      <c r="P21" s="34"/>
    </row>
    <row r="22" spans="1:16" x14ac:dyDescent="0.3">
      <c r="A22" s="54">
        <v>21</v>
      </c>
      <c r="B22" s="54" t="s">
        <v>740</v>
      </c>
      <c r="C22" s="54" t="s">
        <v>90</v>
      </c>
      <c r="D22" s="54" t="s">
        <v>689</v>
      </c>
      <c r="E22" s="54" t="s">
        <v>143</v>
      </c>
      <c r="F22" s="54" t="s">
        <v>690</v>
      </c>
      <c r="G22" s="54" t="s">
        <v>486</v>
      </c>
      <c r="H22" s="54">
        <v>25</v>
      </c>
      <c r="I22" s="54">
        <v>1</v>
      </c>
      <c r="J22" s="54" t="s">
        <v>69</v>
      </c>
      <c r="K22" s="54" t="s">
        <v>82</v>
      </c>
      <c r="L22" s="34"/>
      <c r="M22" s="34"/>
      <c r="N22" s="34"/>
      <c r="O22" s="35"/>
      <c r="P22" s="34"/>
    </row>
    <row r="23" spans="1:16" x14ac:dyDescent="0.3">
      <c r="A23" s="54">
        <v>22</v>
      </c>
      <c r="B23" s="54" t="s">
        <v>740</v>
      </c>
      <c r="C23" s="54" t="s">
        <v>508</v>
      </c>
      <c r="D23" s="54" t="s">
        <v>711</v>
      </c>
      <c r="E23" s="54" t="s">
        <v>125</v>
      </c>
      <c r="F23" s="54" t="s">
        <v>712</v>
      </c>
      <c r="G23" s="54" t="s">
        <v>486</v>
      </c>
      <c r="H23" s="54">
        <v>0</v>
      </c>
      <c r="I23" s="54">
        <v>0.75</v>
      </c>
      <c r="J23" s="54" t="s">
        <v>69</v>
      </c>
      <c r="K23" s="54" t="s">
        <v>77</v>
      </c>
      <c r="L23" s="34"/>
      <c r="M23" s="34"/>
      <c r="N23" s="34"/>
      <c r="O23" s="34"/>
      <c r="P23" s="34"/>
    </row>
    <row r="24" spans="1:16" x14ac:dyDescent="0.3">
      <c r="A24" s="54">
        <v>23</v>
      </c>
      <c r="B24" s="54" t="s">
        <v>740</v>
      </c>
      <c r="C24" s="54" t="s">
        <v>104</v>
      </c>
      <c r="D24" s="54" t="s">
        <v>715</v>
      </c>
      <c r="E24" s="54" t="s">
        <v>101</v>
      </c>
      <c r="F24" s="54" t="s">
        <v>716</v>
      </c>
      <c r="G24" s="54" t="s">
        <v>486</v>
      </c>
      <c r="H24" s="54">
        <v>0</v>
      </c>
      <c r="I24" s="54">
        <v>1</v>
      </c>
      <c r="J24" s="54" t="s">
        <v>69</v>
      </c>
      <c r="K24" s="54" t="s">
        <v>77</v>
      </c>
      <c r="L24" s="34"/>
      <c r="M24" s="34"/>
      <c r="N24" s="34"/>
      <c r="O24" s="35"/>
      <c r="P24" s="34"/>
    </row>
    <row r="25" spans="1:16" x14ac:dyDescent="0.3">
      <c r="A25" s="54">
        <v>24</v>
      </c>
      <c r="B25" s="54" t="s">
        <v>740</v>
      </c>
      <c r="C25" s="54" t="s">
        <v>104</v>
      </c>
      <c r="D25" s="54" t="s">
        <v>717</v>
      </c>
      <c r="E25" s="54" t="s">
        <v>80</v>
      </c>
      <c r="F25" s="54" t="s">
        <v>718</v>
      </c>
      <c r="G25" s="54" t="s">
        <v>486</v>
      </c>
      <c r="H25" s="54">
        <v>0</v>
      </c>
      <c r="I25" s="54">
        <v>1</v>
      </c>
      <c r="J25" s="54" t="s">
        <v>69</v>
      </c>
      <c r="K25" s="54" t="s">
        <v>82</v>
      </c>
      <c r="L25" s="34"/>
      <c r="M25" s="34"/>
      <c r="N25" s="34"/>
      <c r="O25" s="35"/>
      <c r="P25" s="34"/>
    </row>
    <row r="26" spans="1:16" x14ac:dyDescent="0.3">
      <c r="A26" s="54">
        <v>25</v>
      </c>
      <c r="B26" s="54" t="s">
        <v>740</v>
      </c>
      <c r="C26" s="54" t="s">
        <v>104</v>
      </c>
      <c r="D26" s="54" t="s">
        <v>728</v>
      </c>
      <c r="E26" s="54" t="s">
        <v>80</v>
      </c>
      <c r="F26" s="54" t="s">
        <v>729</v>
      </c>
      <c r="G26" s="54" t="s">
        <v>487</v>
      </c>
      <c r="H26" s="54">
        <v>0</v>
      </c>
      <c r="I26" s="54">
        <v>1</v>
      </c>
      <c r="J26" s="54" t="s">
        <v>69</v>
      </c>
      <c r="K26" s="54" t="s">
        <v>82</v>
      </c>
      <c r="L26" s="34"/>
      <c r="M26" s="34"/>
      <c r="N26" s="34"/>
      <c r="O26" s="35"/>
      <c r="P26" s="34"/>
    </row>
    <row r="27" spans="1:16" x14ac:dyDescent="0.3">
      <c r="A27" s="54">
        <v>26</v>
      </c>
      <c r="B27" s="54" t="s">
        <v>740</v>
      </c>
      <c r="C27" s="54" t="s">
        <v>412</v>
      </c>
      <c r="D27" s="54" t="s">
        <v>733</v>
      </c>
      <c r="E27" s="54" t="s">
        <v>101</v>
      </c>
      <c r="F27" s="54" t="s">
        <v>734</v>
      </c>
      <c r="G27" s="54" t="s">
        <v>487</v>
      </c>
      <c r="H27" s="54">
        <v>4</v>
      </c>
      <c r="I27" s="54">
        <v>1</v>
      </c>
      <c r="J27" s="54" t="s">
        <v>69</v>
      </c>
      <c r="K27" s="54" t="s">
        <v>82</v>
      </c>
      <c r="L27" s="34"/>
      <c r="M27" s="34"/>
      <c r="N27" s="34"/>
      <c r="O27" s="34"/>
      <c r="P27" s="34"/>
    </row>
    <row r="28" spans="1:16" x14ac:dyDescent="0.3">
      <c r="A28" s="54">
        <v>27</v>
      </c>
      <c r="B28" s="54" t="s">
        <v>740</v>
      </c>
      <c r="C28" s="54" t="s">
        <v>104</v>
      </c>
      <c r="D28" s="54" t="s">
        <v>736</v>
      </c>
      <c r="E28" s="54" t="s">
        <v>125</v>
      </c>
      <c r="F28" s="54" t="s">
        <v>737</v>
      </c>
      <c r="G28" s="54" t="s">
        <v>486</v>
      </c>
      <c r="H28" s="54">
        <v>0</v>
      </c>
      <c r="I28" s="54">
        <v>0.5</v>
      </c>
      <c r="J28" s="54" t="s">
        <v>69</v>
      </c>
      <c r="K28" s="54" t="s">
        <v>77</v>
      </c>
      <c r="L28" s="34"/>
      <c r="M28" s="34"/>
      <c r="N28" s="34"/>
      <c r="O28" s="34"/>
      <c r="P28" s="34"/>
    </row>
    <row r="29" spans="1:16" x14ac:dyDescent="0.3">
      <c r="A29" s="54">
        <v>28</v>
      </c>
      <c r="B29" s="54" t="s">
        <v>740</v>
      </c>
      <c r="C29" s="54" t="s">
        <v>104</v>
      </c>
      <c r="D29" s="54" t="s">
        <v>738</v>
      </c>
      <c r="E29" s="54" t="s">
        <v>112</v>
      </c>
      <c r="F29" s="54" t="s">
        <v>739</v>
      </c>
      <c r="G29" s="54" t="s">
        <v>487</v>
      </c>
      <c r="H29" s="54"/>
      <c r="I29" s="54">
        <v>1</v>
      </c>
      <c r="J29" s="54" t="s">
        <v>69</v>
      </c>
      <c r="K29" s="54" t="s">
        <v>77</v>
      </c>
      <c r="L29" s="34"/>
      <c r="M29" s="34"/>
      <c r="N29" s="34"/>
      <c r="O29" s="34"/>
      <c r="P29" s="34"/>
    </row>
    <row r="30" spans="1:16" x14ac:dyDescent="0.3">
      <c r="A30" s="54">
        <v>29</v>
      </c>
      <c r="B30" s="54" t="s">
        <v>875</v>
      </c>
      <c r="C30" s="54" t="s">
        <v>65</v>
      </c>
      <c r="D30" s="54" t="s">
        <v>784</v>
      </c>
      <c r="E30" s="54" t="s">
        <v>101</v>
      </c>
      <c r="F30" s="54" t="s">
        <v>785</v>
      </c>
      <c r="G30" s="54" t="s">
        <v>746</v>
      </c>
      <c r="H30" s="54">
        <v>12</v>
      </c>
      <c r="I30" s="54">
        <v>16</v>
      </c>
      <c r="J30" s="54" t="s">
        <v>161</v>
      </c>
      <c r="K30" s="54" t="s">
        <v>82</v>
      </c>
      <c r="L30" s="34"/>
      <c r="M30" s="34"/>
      <c r="N30" s="35"/>
      <c r="O30" s="34"/>
      <c r="P30" s="34"/>
    </row>
    <row r="31" spans="1:16" x14ac:dyDescent="0.3">
      <c r="A31" s="54">
        <v>30</v>
      </c>
      <c r="B31" s="54" t="s">
        <v>875</v>
      </c>
      <c r="C31" s="54" t="s">
        <v>65</v>
      </c>
      <c r="D31" s="54" t="s">
        <v>794</v>
      </c>
      <c r="E31" s="54" t="s">
        <v>101</v>
      </c>
      <c r="F31" s="54" t="s">
        <v>795</v>
      </c>
      <c r="G31" s="54" t="s">
        <v>746</v>
      </c>
      <c r="H31" s="54">
        <v>19</v>
      </c>
      <c r="I31" s="54">
        <v>4</v>
      </c>
      <c r="J31" s="54" t="s">
        <v>69</v>
      </c>
      <c r="K31" s="54" t="s">
        <v>77</v>
      </c>
      <c r="L31" s="34"/>
      <c r="M31" s="34"/>
      <c r="N31" s="35"/>
      <c r="O31" s="34"/>
      <c r="P31" s="34"/>
    </row>
    <row r="32" spans="1:16" x14ac:dyDescent="0.3">
      <c r="A32" s="54">
        <v>31</v>
      </c>
      <c r="B32" s="54" t="s">
        <v>875</v>
      </c>
      <c r="C32" s="54" t="s">
        <v>65</v>
      </c>
      <c r="D32" s="54" t="s">
        <v>796</v>
      </c>
      <c r="E32" s="54" t="s">
        <v>101</v>
      </c>
      <c r="F32" s="54" t="s">
        <v>797</v>
      </c>
      <c r="G32" s="54" t="s">
        <v>746</v>
      </c>
      <c r="H32" s="54">
        <v>21</v>
      </c>
      <c r="I32" s="54">
        <v>4</v>
      </c>
      <c r="J32" s="54" t="s">
        <v>69</v>
      </c>
      <c r="K32" s="54" t="s">
        <v>77</v>
      </c>
      <c r="L32" s="34"/>
      <c r="M32" s="34"/>
      <c r="N32" s="35"/>
      <c r="O32" s="34"/>
      <c r="P32" s="34"/>
    </row>
    <row r="33" spans="1:16" x14ac:dyDescent="0.3">
      <c r="A33" s="54">
        <v>32</v>
      </c>
      <c r="B33" s="54" t="s">
        <v>875</v>
      </c>
      <c r="C33" s="54" t="s">
        <v>65</v>
      </c>
      <c r="D33" s="54" t="s">
        <v>809</v>
      </c>
      <c r="E33" s="54" t="s">
        <v>101</v>
      </c>
      <c r="F33" s="54" t="s">
        <v>810</v>
      </c>
      <c r="G33" s="54" t="s">
        <v>745</v>
      </c>
      <c r="H33" s="54">
        <v>12</v>
      </c>
      <c r="I33" s="54">
        <v>18</v>
      </c>
      <c r="J33" s="54" t="s">
        <v>69</v>
      </c>
      <c r="K33" s="54" t="s">
        <v>82</v>
      </c>
      <c r="L33" s="34"/>
      <c r="M33" s="34"/>
      <c r="N33" s="35"/>
      <c r="O33" s="35"/>
      <c r="P33" s="34"/>
    </row>
    <row r="34" spans="1:16" x14ac:dyDescent="0.3">
      <c r="A34" s="54">
        <v>33</v>
      </c>
      <c r="B34" s="54" t="s">
        <v>875</v>
      </c>
      <c r="C34" s="54" t="s">
        <v>65</v>
      </c>
      <c r="D34" s="54" t="s">
        <v>812</v>
      </c>
      <c r="E34" s="54" t="s">
        <v>101</v>
      </c>
      <c r="F34" s="54" t="s">
        <v>813</v>
      </c>
      <c r="G34" s="54" t="s">
        <v>745</v>
      </c>
      <c r="H34" s="54">
        <v>12</v>
      </c>
      <c r="I34" s="54">
        <v>8</v>
      </c>
      <c r="J34" s="54" t="s">
        <v>69</v>
      </c>
      <c r="K34" s="54" t="s">
        <v>82</v>
      </c>
      <c r="L34" s="34"/>
      <c r="M34" s="34"/>
      <c r="N34" s="35"/>
      <c r="O34" s="34"/>
      <c r="P34" s="34"/>
    </row>
    <row r="35" spans="1:16" x14ac:dyDescent="0.3">
      <c r="A35" s="54">
        <v>34</v>
      </c>
      <c r="B35" s="54" t="s">
        <v>875</v>
      </c>
      <c r="C35" s="54" t="s">
        <v>65</v>
      </c>
      <c r="D35" s="54" t="s">
        <v>817</v>
      </c>
      <c r="E35" s="54" t="s">
        <v>101</v>
      </c>
      <c r="F35" s="54" t="s">
        <v>818</v>
      </c>
      <c r="G35" s="54" t="s">
        <v>745</v>
      </c>
      <c r="H35" s="54">
        <v>35</v>
      </c>
      <c r="I35" s="54">
        <v>8</v>
      </c>
      <c r="J35" s="54" t="s">
        <v>69</v>
      </c>
      <c r="K35" s="54" t="s">
        <v>77</v>
      </c>
      <c r="L35" s="34"/>
      <c r="M35" s="34"/>
      <c r="N35" s="35"/>
      <c r="O35" s="35"/>
      <c r="P35" s="34"/>
    </row>
    <row r="36" spans="1:16" x14ac:dyDescent="0.3">
      <c r="A36" s="54">
        <v>35</v>
      </c>
      <c r="B36" s="54" t="s">
        <v>875</v>
      </c>
      <c r="C36" s="54" t="s">
        <v>65</v>
      </c>
      <c r="D36" s="54" t="s">
        <v>819</v>
      </c>
      <c r="E36" s="54" t="s">
        <v>101</v>
      </c>
      <c r="F36" s="54" t="s">
        <v>820</v>
      </c>
      <c r="G36" s="54" t="s">
        <v>745</v>
      </c>
      <c r="H36" s="54">
        <v>35</v>
      </c>
      <c r="I36" s="54">
        <v>6</v>
      </c>
      <c r="J36" s="54" t="s">
        <v>69</v>
      </c>
      <c r="K36" s="54" t="s">
        <v>77</v>
      </c>
      <c r="L36" s="34"/>
      <c r="M36" s="34"/>
      <c r="N36" s="35"/>
      <c r="O36" s="35"/>
      <c r="P36" s="34"/>
    </row>
    <row r="37" spans="1:16" x14ac:dyDescent="0.3">
      <c r="A37" s="54">
        <v>36</v>
      </c>
      <c r="B37" s="54" t="s">
        <v>875</v>
      </c>
      <c r="C37" s="54" t="s">
        <v>65</v>
      </c>
      <c r="D37" s="54" t="s">
        <v>836</v>
      </c>
      <c r="E37" s="54" t="s">
        <v>101</v>
      </c>
      <c r="F37" s="54" t="s">
        <v>837</v>
      </c>
      <c r="G37" s="54" t="s">
        <v>747</v>
      </c>
      <c r="H37" s="54">
        <v>12</v>
      </c>
      <c r="I37" s="54">
        <v>4</v>
      </c>
      <c r="J37" s="54" t="s">
        <v>69</v>
      </c>
      <c r="K37" s="54" t="s">
        <v>82</v>
      </c>
      <c r="L37" s="34"/>
      <c r="M37" s="34"/>
      <c r="N37" s="35"/>
      <c r="O37" s="35"/>
      <c r="P37" s="34"/>
    </row>
    <row r="38" spans="1:16" x14ac:dyDescent="0.3">
      <c r="A38" s="54">
        <v>37</v>
      </c>
      <c r="B38" s="54" t="s">
        <v>875</v>
      </c>
      <c r="C38" s="54" t="s">
        <v>65</v>
      </c>
      <c r="D38" s="54" t="s">
        <v>844</v>
      </c>
      <c r="E38" s="54" t="s">
        <v>101</v>
      </c>
      <c r="F38" s="54" t="s">
        <v>845</v>
      </c>
      <c r="G38" s="54" t="s">
        <v>747</v>
      </c>
      <c r="H38" s="54">
        <v>17</v>
      </c>
      <c r="I38" s="54">
        <v>8</v>
      </c>
      <c r="J38" s="54" t="s">
        <v>69</v>
      </c>
      <c r="K38" s="54" t="s">
        <v>82</v>
      </c>
      <c r="L38" s="34"/>
      <c r="M38" s="34"/>
      <c r="N38" s="35"/>
      <c r="O38" s="34"/>
      <c r="P38" s="3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9"/>
  <sheetViews>
    <sheetView workbookViewId="0">
      <selection activeCell="J7" sqref="J7"/>
    </sheetView>
  </sheetViews>
  <sheetFormatPr defaultRowHeight="14.4" x14ac:dyDescent="0.3"/>
  <cols>
    <col min="5" max="5" width="10.33203125" bestFit="1" customWidth="1"/>
  </cols>
  <sheetData>
    <row r="1" spans="1:9" x14ac:dyDescent="0.3">
      <c r="A1" s="55" t="s">
        <v>886</v>
      </c>
      <c r="B1" s="56" t="s">
        <v>889</v>
      </c>
      <c r="C1" s="56" t="s">
        <v>893</v>
      </c>
      <c r="D1" s="56" t="s">
        <v>894</v>
      </c>
      <c r="E1" s="57" t="s">
        <v>895</v>
      </c>
      <c r="F1" s="56" t="s">
        <v>41</v>
      </c>
      <c r="G1" s="56" t="s">
        <v>50</v>
      </c>
      <c r="H1" s="56" t="s">
        <v>896</v>
      </c>
      <c r="I1" s="56" t="s">
        <v>45</v>
      </c>
    </row>
    <row r="2" spans="1:9" x14ac:dyDescent="0.3">
      <c r="A2" s="41">
        <v>1</v>
      </c>
      <c r="B2" s="41" t="s">
        <v>900</v>
      </c>
      <c r="C2" s="41" t="s">
        <v>998</v>
      </c>
      <c r="D2" s="41" t="s">
        <v>999</v>
      </c>
      <c r="E2" s="58">
        <v>46233</v>
      </c>
      <c r="F2" s="41" t="s">
        <v>65</v>
      </c>
      <c r="G2" s="41" t="s">
        <v>1100</v>
      </c>
      <c r="H2" s="41" t="s">
        <v>803</v>
      </c>
      <c r="I2" s="41">
        <f ca="1">_xlfn.DAYS(TODAY(),E2)</f>
        <v>11</v>
      </c>
    </row>
    <row r="3" spans="1:9" x14ac:dyDescent="0.3">
      <c r="A3" s="41">
        <v>2</v>
      </c>
      <c r="B3" s="41" t="s">
        <v>901</v>
      </c>
      <c r="C3" s="41" t="s">
        <v>1000</v>
      </c>
      <c r="D3" s="41" t="s">
        <v>1001</v>
      </c>
      <c r="E3" s="58">
        <v>46212</v>
      </c>
      <c r="F3" s="41" t="s">
        <v>164</v>
      </c>
      <c r="G3" s="41" t="s">
        <v>1100</v>
      </c>
      <c r="H3" s="41" t="s">
        <v>121</v>
      </c>
      <c r="I3" s="41">
        <f t="shared" ref="I3:I66" ca="1" si="0">_xlfn.DAYS(TODAY(),E3)</f>
        <v>32</v>
      </c>
    </row>
    <row r="4" spans="1:9" x14ac:dyDescent="0.3">
      <c r="A4" s="41">
        <v>3</v>
      </c>
      <c r="B4" s="41" t="s">
        <v>902</v>
      </c>
      <c r="C4" s="41" t="s">
        <v>1002</v>
      </c>
      <c r="D4" s="41" t="s">
        <v>1001</v>
      </c>
      <c r="E4" s="58">
        <v>46239</v>
      </c>
      <c r="F4" s="41" t="s">
        <v>178</v>
      </c>
      <c r="G4" s="41" t="s">
        <v>1100</v>
      </c>
      <c r="H4" s="41" t="s">
        <v>181</v>
      </c>
      <c r="I4" s="41">
        <f t="shared" ca="1" si="0"/>
        <v>5</v>
      </c>
    </row>
    <row r="5" spans="1:9" x14ac:dyDescent="0.3">
      <c r="A5" s="41">
        <v>4</v>
      </c>
      <c r="B5" s="41" t="s">
        <v>903</v>
      </c>
      <c r="C5" s="41" t="s">
        <v>1003</v>
      </c>
      <c r="D5" s="41" t="s">
        <v>1001</v>
      </c>
      <c r="E5" s="58">
        <v>46216</v>
      </c>
      <c r="F5" s="41" t="s">
        <v>90</v>
      </c>
      <c r="G5" s="41" t="s">
        <v>1100</v>
      </c>
      <c r="H5" s="41" t="s">
        <v>1101</v>
      </c>
      <c r="I5" s="41">
        <f t="shared" ca="1" si="0"/>
        <v>28</v>
      </c>
    </row>
    <row r="6" spans="1:9" x14ac:dyDescent="0.3">
      <c r="A6" s="41">
        <v>5</v>
      </c>
      <c r="B6" s="41" t="s">
        <v>904</v>
      </c>
      <c r="C6" s="41" t="s">
        <v>1004</v>
      </c>
      <c r="D6" s="41" t="s">
        <v>1001</v>
      </c>
      <c r="E6" s="58">
        <v>46209</v>
      </c>
      <c r="F6" s="41" t="s">
        <v>90</v>
      </c>
      <c r="G6" s="41" t="s">
        <v>1100</v>
      </c>
      <c r="H6" s="41" t="s">
        <v>1101</v>
      </c>
      <c r="I6" s="41">
        <f t="shared" ca="1" si="0"/>
        <v>35</v>
      </c>
    </row>
    <row r="7" spans="1:9" x14ac:dyDescent="0.3">
      <c r="A7" s="41">
        <v>6</v>
      </c>
      <c r="B7" s="41" t="s">
        <v>905</v>
      </c>
      <c r="C7" s="41" t="s">
        <v>1005</v>
      </c>
      <c r="D7" s="41" t="s">
        <v>999</v>
      </c>
      <c r="E7" s="58">
        <v>46188</v>
      </c>
      <c r="F7" s="41" t="s">
        <v>90</v>
      </c>
      <c r="G7" s="41" t="s">
        <v>1100</v>
      </c>
      <c r="H7" s="41" t="s">
        <v>1101</v>
      </c>
      <c r="I7" s="41">
        <f t="shared" ca="1" si="0"/>
        <v>56</v>
      </c>
    </row>
    <row r="8" spans="1:9" x14ac:dyDescent="0.3">
      <c r="A8" s="41">
        <v>7</v>
      </c>
      <c r="B8" s="41" t="s">
        <v>906</v>
      </c>
      <c r="C8" s="41" t="s">
        <v>1006</v>
      </c>
      <c r="D8" s="41" t="s">
        <v>1001</v>
      </c>
      <c r="E8" s="58">
        <v>46210</v>
      </c>
      <c r="F8" s="41" t="s">
        <v>90</v>
      </c>
      <c r="G8" s="41" t="s">
        <v>1100</v>
      </c>
      <c r="H8" s="41" t="s">
        <v>1101</v>
      </c>
      <c r="I8" s="41">
        <f t="shared" ca="1" si="0"/>
        <v>34</v>
      </c>
    </row>
    <row r="9" spans="1:9" x14ac:dyDescent="0.3">
      <c r="A9" s="41">
        <v>8</v>
      </c>
      <c r="B9" s="41" t="s">
        <v>907</v>
      </c>
      <c r="C9" s="41" t="s">
        <v>1007</v>
      </c>
      <c r="D9" s="41" t="s">
        <v>1001</v>
      </c>
      <c r="E9" s="58">
        <v>46195</v>
      </c>
      <c r="F9" s="41" t="s">
        <v>90</v>
      </c>
      <c r="G9" s="41" t="s">
        <v>1100</v>
      </c>
      <c r="H9" s="41" t="s">
        <v>1101</v>
      </c>
      <c r="I9" s="41">
        <f t="shared" ca="1" si="0"/>
        <v>49</v>
      </c>
    </row>
    <row r="10" spans="1:9" x14ac:dyDescent="0.3">
      <c r="A10" s="41">
        <v>9</v>
      </c>
      <c r="B10" s="41" t="s">
        <v>908</v>
      </c>
      <c r="C10" s="41" t="s">
        <v>436</v>
      </c>
      <c r="D10" s="41" t="s">
        <v>1001</v>
      </c>
      <c r="E10" s="58">
        <v>46241</v>
      </c>
      <c r="F10" s="41" t="s">
        <v>283</v>
      </c>
      <c r="G10" s="41" t="s">
        <v>1100</v>
      </c>
      <c r="H10" s="41" t="s">
        <v>121</v>
      </c>
      <c r="I10" s="41">
        <f t="shared" ca="1" si="0"/>
        <v>3</v>
      </c>
    </row>
    <row r="11" spans="1:9" x14ac:dyDescent="0.3">
      <c r="A11" s="41">
        <v>10</v>
      </c>
      <c r="B11" s="41" t="s">
        <v>909</v>
      </c>
      <c r="C11" s="41" t="s">
        <v>1008</v>
      </c>
      <c r="D11" s="41" t="s">
        <v>1001</v>
      </c>
      <c r="E11" s="58">
        <v>46231</v>
      </c>
      <c r="F11" s="41" t="s">
        <v>596</v>
      </c>
      <c r="G11" s="41" t="s">
        <v>1100</v>
      </c>
      <c r="H11" s="41" t="s">
        <v>71</v>
      </c>
      <c r="I11" s="41">
        <f t="shared" ca="1" si="0"/>
        <v>13</v>
      </c>
    </row>
    <row r="12" spans="1:9" x14ac:dyDescent="0.3">
      <c r="A12" s="41">
        <v>11</v>
      </c>
      <c r="B12" s="41" t="s">
        <v>910</v>
      </c>
      <c r="C12" s="41" t="s">
        <v>1009</v>
      </c>
      <c r="D12" s="41" t="s">
        <v>1001</v>
      </c>
      <c r="E12" s="58">
        <v>46209</v>
      </c>
      <c r="F12" s="41" t="s">
        <v>164</v>
      </c>
      <c r="G12" s="41" t="s">
        <v>1100</v>
      </c>
      <c r="H12" s="41" t="s">
        <v>121</v>
      </c>
      <c r="I12" s="41">
        <f t="shared" ca="1" si="0"/>
        <v>35</v>
      </c>
    </row>
    <row r="13" spans="1:9" x14ac:dyDescent="0.3">
      <c r="A13" s="41">
        <v>12</v>
      </c>
      <c r="B13" s="41" t="s">
        <v>911</v>
      </c>
      <c r="C13" s="41" t="s">
        <v>1010</v>
      </c>
      <c r="D13" s="41" t="s">
        <v>1001</v>
      </c>
      <c r="E13" s="58">
        <v>46200</v>
      </c>
      <c r="F13" s="41" t="s">
        <v>221</v>
      </c>
      <c r="G13" s="41" t="s">
        <v>1100</v>
      </c>
      <c r="H13" s="41" t="s">
        <v>121</v>
      </c>
      <c r="I13" s="41">
        <f t="shared" ca="1" si="0"/>
        <v>44</v>
      </c>
    </row>
    <row r="14" spans="1:9" x14ac:dyDescent="0.3">
      <c r="A14" s="41">
        <v>13</v>
      </c>
      <c r="B14" s="41" t="s">
        <v>912</v>
      </c>
      <c r="C14" s="41" t="s">
        <v>1011</v>
      </c>
      <c r="D14" s="41" t="s">
        <v>1012</v>
      </c>
      <c r="E14" s="58">
        <v>46130</v>
      </c>
      <c r="F14" s="41" t="s">
        <v>1013</v>
      </c>
      <c r="G14" s="41" t="s">
        <v>1100</v>
      </c>
      <c r="H14" s="41" t="s">
        <v>1102</v>
      </c>
      <c r="I14" s="41">
        <f t="shared" ca="1" si="0"/>
        <v>114</v>
      </c>
    </row>
    <row r="15" spans="1:9" x14ac:dyDescent="0.3">
      <c r="A15" s="41">
        <v>14</v>
      </c>
      <c r="B15" s="41" t="s">
        <v>913</v>
      </c>
      <c r="C15" s="41" t="s">
        <v>1014</v>
      </c>
      <c r="D15" s="41" t="s">
        <v>999</v>
      </c>
      <c r="E15" s="58">
        <v>46055</v>
      </c>
      <c r="F15" s="41" t="s">
        <v>164</v>
      </c>
      <c r="G15" s="41" t="s">
        <v>1100</v>
      </c>
      <c r="H15" s="41" t="s">
        <v>121</v>
      </c>
      <c r="I15" s="41">
        <f t="shared" ca="1" si="0"/>
        <v>189</v>
      </c>
    </row>
    <row r="16" spans="1:9" x14ac:dyDescent="0.3">
      <c r="A16" s="41">
        <v>15</v>
      </c>
      <c r="B16" s="41" t="s">
        <v>914</v>
      </c>
      <c r="C16" s="41" t="s">
        <v>1015</v>
      </c>
      <c r="D16" s="41" t="s">
        <v>1001</v>
      </c>
      <c r="E16" s="58">
        <v>46049</v>
      </c>
      <c r="F16" s="41" t="s">
        <v>221</v>
      </c>
      <c r="G16" s="41" t="s">
        <v>1100</v>
      </c>
      <c r="H16" s="41" t="s">
        <v>121</v>
      </c>
      <c r="I16" s="41">
        <f t="shared" ca="1" si="0"/>
        <v>195</v>
      </c>
    </row>
    <row r="17" spans="1:9" x14ac:dyDescent="0.3">
      <c r="A17" s="41">
        <v>16</v>
      </c>
      <c r="B17" s="41" t="s">
        <v>915</v>
      </c>
      <c r="C17" s="41" t="s">
        <v>1016</v>
      </c>
      <c r="D17" s="41" t="s">
        <v>1001</v>
      </c>
      <c r="E17" s="58">
        <v>46071</v>
      </c>
      <c r="F17" s="41" t="s">
        <v>164</v>
      </c>
      <c r="G17" s="41" t="s">
        <v>1100</v>
      </c>
      <c r="H17" s="41" t="s">
        <v>121</v>
      </c>
      <c r="I17" s="41">
        <f t="shared" ca="1" si="0"/>
        <v>173</v>
      </c>
    </row>
    <row r="18" spans="1:9" x14ac:dyDescent="0.3">
      <c r="A18" s="41">
        <v>17</v>
      </c>
      <c r="B18" s="41" t="s">
        <v>916</v>
      </c>
      <c r="C18" s="41" t="s">
        <v>1017</v>
      </c>
      <c r="D18" s="41" t="s">
        <v>1001</v>
      </c>
      <c r="E18" s="58">
        <v>46235</v>
      </c>
      <c r="F18" s="41" t="s">
        <v>178</v>
      </c>
      <c r="G18" s="41" t="s">
        <v>1100</v>
      </c>
      <c r="H18" s="41" t="s">
        <v>181</v>
      </c>
      <c r="I18" s="41">
        <f t="shared" ca="1" si="0"/>
        <v>9</v>
      </c>
    </row>
    <row r="19" spans="1:9" x14ac:dyDescent="0.3">
      <c r="A19" s="41">
        <v>18</v>
      </c>
      <c r="B19" s="41" t="s">
        <v>917</v>
      </c>
      <c r="C19" s="41" t="s">
        <v>1018</v>
      </c>
      <c r="D19" s="41" t="s">
        <v>1001</v>
      </c>
      <c r="E19" s="58">
        <v>46195</v>
      </c>
      <c r="F19" s="41" t="s">
        <v>164</v>
      </c>
      <c r="G19" s="41" t="s">
        <v>1100</v>
      </c>
      <c r="H19" s="41" t="s">
        <v>1103</v>
      </c>
      <c r="I19" s="41">
        <f t="shared" ca="1" si="0"/>
        <v>49</v>
      </c>
    </row>
    <row r="20" spans="1:9" x14ac:dyDescent="0.3">
      <c r="A20" s="41">
        <v>19</v>
      </c>
      <c r="B20" s="41" t="s">
        <v>918</v>
      </c>
      <c r="C20" s="41" t="s">
        <v>1019</v>
      </c>
      <c r="D20" s="41" t="s">
        <v>1001</v>
      </c>
      <c r="E20" s="58">
        <v>46176</v>
      </c>
      <c r="F20" s="41" t="s">
        <v>164</v>
      </c>
      <c r="G20" s="41" t="s">
        <v>1100</v>
      </c>
      <c r="H20" s="41" t="s">
        <v>1103</v>
      </c>
      <c r="I20" s="41">
        <f t="shared" ca="1" si="0"/>
        <v>68</v>
      </c>
    </row>
    <row r="21" spans="1:9" x14ac:dyDescent="0.3">
      <c r="A21" s="41">
        <v>20</v>
      </c>
      <c r="B21" s="41" t="s">
        <v>919</v>
      </c>
      <c r="C21" s="41" t="s">
        <v>1020</v>
      </c>
      <c r="D21" s="41" t="s">
        <v>1001</v>
      </c>
      <c r="E21" s="58">
        <v>46209</v>
      </c>
      <c r="F21" s="41" t="s">
        <v>164</v>
      </c>
      <c r="G21" s="41" t="s">
        <v>1100</v>
      </c>
      <c r="H21" s="41" t="s">
        <v>181</v>
      </c>
      <c r="I21" s="41">
        <f t="shared" ca="1" si="0"/>
        <v>35</v>
      </c>
    </row>
    <row r="22" spans="1:9" x14ac:dyDescent="0.3">
      <c r="A22" s="41">
        <v>21</v>
      </c>
      <c r="B22" s="41" t="s">
        <v>920</v>
      </c>
      <c r="C22" s="41" t="s">
        <v>1021</v>
      </c>
      <c r="D22" s="41" t="s">
        <v>999</v>
      </c>
      <c r="E22" s="58">
        <v>46226</v>
      </c>
      <c r="F22" s="41" t="s">
        <v>526</v>
      </c>
      <c r="G22" s="41" t="s">
        <v>1100</v>
      </c>
      <c r="H22" s="41" t="s">
        <v>499</v>
      </c>
      <c r="I22" s="41">
        <f t="shared" ca="1" si="0"/>
        <v>18</v>
      </c>
    </row>
    <row r="23" spans="1:9" x14ac:dyDescent="0.3">
      <c r="A23" s="41">
        <v>22</v>
      </c>
      <c r="B23" s="41" t="s">
        <v>921</v>
      </c>
      <c r="C23" s="41" t="s">
        <v>1022</v>
      </c>
      <c r="D23" s="41" t="s">
        <v>999</v>
      </c>
      <c r="E23" s="58">
        <v>46114</v>
      </c>
      <c r="F23" s="41" t="s">
        <v>90</v>
      </c>
      <c r="G23" s="41" t="s">
        <v>1100</v>
      </c>
      <c r="H23" s="41" t="s">
        <v>1101</v>
      </c>
      <c r="I23" s="41">
        <f t="shared" ca="1" si="0"/>
        <v>130</v>
      </c>
    </row>
    <row r="24" spans="1:9" x14ac:dyDescent="0.3">
      <c r="A24" s="41">
        <v>23</v>
      </c>
      <c r="B24" s="41" t="s">
        <v>922</v>
      </c>
      <c r="C24" s="41" t="s">
        <v>1023</v>
      </c>
      <c r="D24" s="41" t="s">
        <v>1001</v>
      </c>
      <c r="E24" s="58">
        <v>46225</v>
      </c>
      <c r="F24" s="41" t="s">
        <v>73</v>
      </c>
      <c r="G24" s="41" t="s">
        <v>1100</v>
      </c>
      <c r="H24" s="41" t="s">
        <v>1104</v>
      </c>
      <c r="I24" s="41">
        <f t="shared" ca="1" si="0"/>
        <v>19</v>
      </c>
    </row>
    <row r="25" spans="1:9" x14ac:dyDescent="0.3">
      <c r="A25" s="41">
        <v>24</v>
      </c>
      <c r="B25" s="41" t="s">
        <v>923</v>
      </c>
      <c r="C25" s="41" t="s">
        <v>1024</v>
      </c>
      <c r="D25" s="41" t="s">
        <v>1001</v>
      </c>
      <c r="E25" s="58">
        <v>46119</v>
      </c>
      <c r="F25" s="41" t="s">
        <v>164</v>
      </c>
      <c r="G25" s="41" t="s">
        <v>1100</v>
      </c>
      <c r="H25" s="41" t="s">
        <v>181</v>
      </c>
      <c r="I25" s="41">
        <f t="shared" ca="1" si="0"/>
        <v>125</v>
      </c>
    </row>
    <row r="26" spans="1:9" x14ac:dyDescent="0.3">
      <c r="A26" s="41">
        <v>25</v>
      </c>
      <c r="B26" s="41" t="s">
        <v>924</v>
      </c>
      <c r="C26" s="41" t="s">
        <v>1025</v>
      </c>
      <c r="D26" s="41" t="s">
        <v>999</v>
      </c>
      <c r="E26" s="58">
        <v>46146</v>
      </c>
      <c r="F26" s="41" t="s">
        <v>221</v>
      </c>
      <c r="G26" s="41" t="s">
        <v>1100</v>
      </c>
      <c r="H26" s="41" t="s">
        <v>121</v>
      </c>
      <c r="I26" s="41">
        <f t="shared" ca="1" si="0"/>
        <v>98</v>
      </c>
    </row>
    <row r="27" spans="1:9" x14ac:dyDescent="0.3">
      <c r="A27" s="41">
        <v>26</v>
      </c>
      <c r="B27" s="41" t="s">
        <v>925</v>
      </c>
      <c r="C27" s="41" t="s">
        <v>1026</v>
      </c>
      <c r="D27" s="41" t="s">
        <v>999</v>
      </c>
      <c r="E27" s="58">
        <v>46209</v>
      </c>
      <c r="F27" s="41" t="s">
        <v>65</v>
      </c>
      <c r="G27" s="41" t="s">
        <v>1100</v>
      </c>
      <c r="H27" s="41" t="s">
        <v>803</v>
      </c>
      <c r="I27" s="41">
        <f t="shared" ca="1" si="0"/>
        <v>35</v>
      </c>
    </row>
    <row r="28" spans="1:9" x14ac:dyDescent="0.3">
      <c r="A28" s="41">
        <v>27</v>
      </c>
      <c r="B28" s="41" t="s">
        <v>926</v>
      </c>
      <c r="C28" s="41" t="s">
        <v>1027</v>
      </c>
      <c r="D28" s="41" t="s">
        <v>1001</v>
      </c>
      <c r="E28" s="58">
        <v>46209</v>
      </c>
      <c r="F28" s="41" t="s">
        <v>221</v>
      </c>
      <c r="G28" s="41" t="s">
        <v>1100</v>
      </c>
      <c r="H28" s="41" t="s">
        <v>121</v>
      </c>
      <c r="I28" s="41">
        <f t="shared" ca="1" si="0"/>
        <v>35</v>
      </c>
    </row>
    <row r="29" spans="1:9" x14ac:dyDescent="0.3">
      <c r="A29" s="41">
        <v>28</v>
      </c>
      <c r="B29" s="41" t="s">
        <v>927</v>
      </c>
      <c r="C29" s="41" t="s">
        <v>1028</v>
      </c>
      <c r="D29" s="41" t="s">
        <v>999</v>
      </c>
      <c r="E29" s="58">
        <v>46212</v>
      </c>
      <c r="F29" s="41" t="s">
        <v>526</v>
      </c>
      <c r="G29" s="41" t="s">
        <v>1100</v>
      </c>
      <c r="H29" s="41" t="s">
        <v>499</v>
      </c>
      <c r="I29" s="41">
        <f t="shared" ca="1" si="0"/>
        <v>32</v>
      </c>
    </row>
    <row r="30" spans="1:9" x14ac:dyDescent="0.3">
      <c r="A30" s="41">
        <v>29</v>
      </c>
      <c r="B30" s="41" t="s">
        <v>928</v>
      </c>
      <c r="C30" s="41" t="s">
        <v>65</v>
      </c>
      <c r="D30" s="41" t="s">
        <v>999</v>
      </c>
      <c r="E30" s="58">
        <v>46196</v>
      </c>
      <c r="F30" s="41" t="s">
        <v>65</v>
      </c>
      <c r="G30" s="41" t="s">
        <v>1100</v>
      </c>
      <c r="H30" s="41" t="s">
        <v>803</v>
      </c>
      <c r="I30" s="41">
        <f t="shared" ca="1" si="0"/>
        <v>48</v>
      </c>
    </row>
    <row r="31" spans="1:9" x14ac:dyDescent="0.3">
      <c r="A31" s="41">
        <v>30</v>
      </c>
      <c r="B31" s="41" t="s">
        <v>929</v>
      </c>
      <c r="C31" s="41" t="s">
        <v>1029</v>
      </c>
      <c r="D31" s="41" t="s">
        <v>999</v>
      </c>
      <c r="E31" s="58">
        <v>46201</v>
      </c>
      <c r="F31" s="41" t="s">
        <v>65</v>
      </c>
      <c r="G31" s="41" t="s">
        <v>1100</v>
      </c>
      <c r="H31" s="41" t="s">
        <v>803</v>
      </c>
      <c r="I31" s="41">
        <f t="shared" ca="1" si="0"/>
        <v>43</v>
      </c>
    </row>
    <row r="32" spans="1:9" x14ac:dyDescent="0.3">
      <c r="A32" s="41">
        <v>31</v>
      </c>
      <c r="B32" s="41" t="s">
        <v>930</v>
      </c>
      <c r="C32" s="41" t="s">
        <v>1030</v>
      </c>
      <c r="D32" s="41" t="s">
        <v>1001</v>
      </c>
      <c r="E32" s="58">
        <v>46155</v>
      </c>
      <c r="F32" s="41" t="s">
        <v>164</v>
      </c>
      <c r="G32" s="41" t="s">
        <v>1100</v>
      </c>
      <c r="H32" s="41" t="s">
        <v>1103</v>
      </c>
      <c r="I32" s="41">
        <f t="shared" ca="1" si="0"/>
        <v>89</v>
      </c>
    </row>
    <row r="33" spans="1:9" x14ac:dyDescent="0.3">
      <c r="A33" s="41">
        <v>32</v>
      </c>
      <c r="B33" s="41" t="s">
        <v>931</v>
      </c>
      <c r="C33" s="41" t="s">
        <v>1031</v>
      </c>
      <c r="D33" s="41" t="s">
        <v>1001</v>
      </c>
      <c r="E33" s="58">
        <v>46202</v>
      </c>
      <c r="F33" s="41" t="s">
        <v>164</v>
      </c>
      <c r="G33" s="41" t="s">
        <v>1100</v>
      </c>
      <c r="H33" s="41" t="s">
        <v>121</v>
      </c>
      <c r="I33" s="41">
        <f t="shared" ca="1" si="0"/>
        <v>42</v>
      </c>
    </row>
    <row r="34" spans="1:9" x14ac:dyDescent="0.3">
      <c r="A34" s="41">
        <v>33</v>
      </c>
      <c r="B34" s="41" t="s">
        <v>932</v>
      </c>
      <c r="C34" s="41" t="s">
        <v>1032</v>
      </c>
      <c r="D34" s="41" t="s">
        <v>1001</v>
      </c>
      <c r="E34" s="58">
        <v>46202</v>
      </c>
      <c r="F34" s="41" t="s">
        <v>164</v>
      </c>
      <c r="G34" s="41" t="s">
        <v>1100</v>
      </c>
      <c r="H34" s="41" t="s">
        <v>1103</v>
      </c>
      <c r="I34" s="41">
        <f t="shared" ca="1" si="0"/>
        <v>42</v>
      </c>
    </row>
    <row r="35" spans="1:9" x14ac:dyDescent="0.3">
      <c r="A35" s="41">
        <v>34</v>
      </c>
      <c r="B35" s="41" t="s">
        <v>933</v>
      </c>
      <c r="C35" s="41" t="s">
        <v>1033</v>
      </c>
      <c r="D35" s="41" t="s">
        <v>1001</v>
      </c>
      <c r="E35" s="58">
        <v>46198</v>
      </c>
      <c r="F35" s="41" t="s">
        <v>221</v>
      </c>
      <c r="G35" s="41" t="s">
        <v>1100</v>
      </c>
      <c r="H35" s="41" t="s">
        <v>121</v>
      </c>
      <c r="I35" s="41">
        <f t="shared" ca="1" si="0"/>
        <v>46</v>
      </c>
    </row>
    <row r="36" spans="1:9" x14ac:dyDescent="0.3">
      <c r="A36" s="41">
        <v>35</v>
      </c>
      <c r="B36" s="41" t="s">
        <v>934</v>
      </c>
      <c r="C36" s="41" t="s">
        <v>1034</v>
      </c>
      <c r="D36" s="41" t="s">
        <v>1001</v>
      </c>
      <c r="E36" s="58">
        <v>46191</v>
      </c>
      <c r="F36" s="41" t="s">
        <v>129</v>
      </c>
      <c r="G36" s="41" t="s">
        <v>1100</v>
      </c>
      <c r="H36" s="41" t="s">
        <v>121</v>
      </c>
      <c r="I36" s="41">
        <f t="shared" ca="1" si="0"/>
        <v>53</v>
      </c>
    </row>
    <row r="37" spans="1:9" x14ac:dyDescent="0.3">
      <c r="A37" s="41">
        <v>36</v>
      </c>
      <c r="B37" s="41" t="s">
        <v>935</v>
      </c>
      <c r="C37" s="41" t="s">
        <v>1035</v>
      </c>
      <c r="D37" s="41" t="s">
        <v>1001</v>
      </c>
      <c r="E37" s="58">
        <v>46111</v>
      </c>
      <c r="F37" s="41" t="s">
        <v>1036</v>
      </c>
      <c r="G37" s="41" t="s">
        <v>1100</v>
      </c>
      <c r="H37" s="41" t="s">
        <v>803</v>
      </c>
      <c r="I37" s="41">
        <f t="shared" ca="1" si="0"/>
        <v>133</v>
      </c>
    </row>
    <row r="38" spans="1:9" x14ac:dyDescent="0.3">
      <c r="A38" s="41">
        <v>37</v>
      </c>
      <c r="B38" s="41" t="s">
        <v>936</v>
      </c>
      <c r="C38" s="41" t="s">
        <v>1037</v>
      </c>
      <c r="D38" s="41" t="s">
        <v>1001</v>
      </c>
      <c r="E38" s="58">
        <v>46010</v>
      </c>
      <c r="F38" s="41" t="s">
        <v>1036</v>
      </c>
      <c r="G38" s="41" t="s">
        <v>1100</v>
      </c>
      <c r="H38" s="41" t="s">
        <v>1103</v>
      </c>
      <c r="I38" s="41">
        <f t="shared" ca="1" si="0"/>
        <v>234</v>
      </c>
    </row>
    <row r="39" spans="1:9" x14ac:dyDescent="0.3">
      <c r="A39" s="41">
        <v>38</v>
      </c>
      <c r="B39" s="41" t="s">
        <v>937</v>
      </c>
      <c r="C39" s="41" t="s">
        <v>1038</v>
      </c>
      <c r="D39" s="41" t="s">
        <v>1001</v>
      </c>
      <c r="E39" s="58">
        <v>46156</v>
      </c>
      <c r="F39" s="41" t="s">
        <v>164</v>
      </c>
      <c r="G39" s="41" t="s">
        <v>1100</v>
      </c>
      <c r="H39" s="41" t="s">
        <v>1103</v>
      </c>
      <c r="I39" s="41">
        <f t="shared" ca="1" si="0"/>
        <v>88</v>
      </c>
    </row>
    <row r="40" spans="1:9" x14ac:dyDescent="0.3">
      <c r="A40" s="41">
        <v>39</v>
      </c>
      <c r="B40" s="41" t="s">
        <v>938</v>
      </c>
      <c r="C40" s="41" t="s">
        <v>1039</v>
      </c>
      <c r="D40" s="41" t="s">
        <v>1001</v>
      </c>
      <c r="E40" s="58">
        <v>46125</v>
      </c>
      <c r="F40" s="41" t="s">
        <v>164</v>
      </c>
      <c r="G40" s="41" t="s">
        <v>1100</v>
      </c>
      <c r="H40" s="41" t="s">
        <v>1103</v>
      </c>
      <c r="I40" s="41">
        <f t="shared" ca="1" si="0"/>
        <v>119</v>
      </c>
    </row>
    <row r="41" spans="1:9" x14ac:dyDescent="0.3">
      <c r="A41" s="41">
        <v>40</v>
      </c>
      <c r="B41" s="41" t="s">
        <v>939</v>
      </c>
      <c r="C41" s="41" t="s">
        <v>1040</v>
      </c>
      <c r="D41" s="41" t="s">
        <v>1001</v>
      </c>
      <c r="E41" s="58">
        <v>46113</v>
      </c>
      <c r="F41" s="41" t="s">
        <v>596</v>
      </c>
      <c r="G41" s="41" t="s">
        <v>1100</v>
      </c>
      <c r="H41" s="41" t="s">
        <v>1103</v>
      </c>
      <c r="I41" s="41">
        <f t="shared" ca="1" si="0"/>
        <v>131</v>
      </c>
    </row>
    <row r="42" spans="1:9" x14ac:dyDescent="0.3">
      <c r="A42" s="41">
        <v>41</v>
      </c>
      <c r="B42" s="41" t="s">
        <v>940</v>
      </c>
      <c r="C42" s="41" t="s">
        <v>1041</v>
      </c>
      <c r="D42" s="41" t="s">
        <v>1001</v>
      </c>
      <c r="E42" s="58">
        <v>46127</v>
      </c>
      <c r="F42" s="41" t="s">
        <v>90</v>
      </c>
      <c r="G42" s="41" t="s">
        <v>1100</v>
      </c>
      <c r="H42" s="41" t="s">
        <v>1101</v>
      </c>
      <c r="I42" s="41">
        <f t="shared" ca="1" si="0"/>
        <v>117</v>
      </c>
    </row>
    <row r="43" spans="1:9" x14ac:dyDescent="0.3">
      <c r="A43" s="41">
        <v>42</v>
      </c>
      <c r="B43" s="41" t="s">
        <v>941</v>
      </c>
      <c r="C43" s="41" t="s">
        <v>1042</v>
      </c>
      <c r="D43" s="41" t="s">
        <v>999</v>
      </c>
      <c r="E43" s="58">
        <v>46184</v>
      </c>
      <c r="F43" s="41" t="s">
        <v>90</v>
      </c>
      <c r="G43" s="41" t="s">
        <v>1100</v>
      </c>
      <c r="H43" s="41" t="s">
        <v>1101</v>
      </c>
      <c r="I43" s="41">
        <f t="shared" ca="1" si="0"/>
        <v>60</v>
      </c>
    </row>
    <row r="44" spans="1:9" x14ac:dyDescent="0.3">
      <c r="A44" s="41">
        <v>43</v>
      </c>
      <c r="B44" s="41" t="s">
        <v>942</v>
      </c>
      <c r="C44" s="41" t="s">
        <v>1043</v>
      </c>
      <c r="D44" s="41" t="s">
        <v>1001</v>
      </c>
      <c r="E44" s="58">
        <v>46129</v>
      </c>
      <c r="F44" s="41"/>
      <c r="G44" s="41" t="s">
        <v>1100</v>
      </c>
      <c r="H44" s="41" t="s">
        <v>1104</v>
      </c>
      <c r="I44" s="41">
        <f t="shared" ca="1" si="0"/>
        <v>115</v>
      </c>
    </row>
    <row r="45" spans="1:9" x14ac:dyDescent="0.3">
      <c r="A45" s="41">
        <v>44</v>
      </c>
      <c r="B45" s="41" t="s">
        <v>943</v>
      </c>
      <c r="C45" s="41" t="s">
        <v>1044</v>
      </c>
      <c r="D45" s="41" t="s">
        <v>1001</v>
      </c>
      <c r="E45" s="58">
        <v>46007</v>
      </c>
      <c r="F45" s="41" t="s">
        <v>164</v>
      </c>
      <c r="G45" s="41" t="s">
        <v>1100</v>
      </c>
      <c r="H45" s="41" t="s">
        <v>1105</v>
      </c>
      <c r="I45" s="41">
        <f t="shared" ca="1" si="0"/>
        <v>237</v>
      </c>
    </row>
    <row r="46" spans="1:9" x14ac:dyDescent="0.3">
      <c r="A46" s="41">
        <v>45</v>
      </c>
      <c r="B46" s="41" t="s">
        <v>944</v>
      </c>
      <c r="C46" s="41" t="s">
        <v>1045</v>
      </c>
      <c r="D46" s="41" t="s">
        <v>1001</v>
      </c>
      <c r="E46" s="58">
        <v>46069</v>
      </c>
      <c r="F46" s="41" t="s">
        <v>1036</v>
      </c>
      <c r="G46" s="41" t="s">
        <v>1100</v>
      </c>
      <c r="H46" s="41" t="s">
        <v>803</v>
      </c>
      <c r="I46" s="41">
        <f t="shared" ca="1" si="0"/>
        <v>175</v>
      </c>
    </row>
    <row r="47" spans="1:9" x14ac:dyDescent="0.3">
      <c r="A47" s="41">
        <v>46</v>
      </c>
      <c r="B47" s="41" t="s">
        <v>945</v>
      </c>
      <c r="C47" s="41" t="s">
        <v>1046</v>
      </c>
      <c r="D47" s="41" t="s">
        <v>1001</v>
      </c>
      <c r="E47" s="58">
        <v>46076</v>
      </c>
      <c r="F47" s="41" t="s">
        <v>1036</v>
      </c>
      <c r="G47" s="41" t="s">
        <v>1100</v>
      </c>
      <c r="H47" s="41" t="s">
        <v>803</v>
      </c>
      <c r="I47" s="41">
        <f t="shared" ca="1" si="0"/>
        <v>168</v>
      </c>
    </row>
    <row r="48" spans="1:9" x14ac:dyDescent="0.3">
      <c r="A48" s="41">
        <v>47</v>
      </c>
      <c r="B48" s="41" t="s">
        <v>946</v>
      </c>
      <c r="C48" s="41" t="s">
        <v>1047</v>
      </c>
      <c r="D48" s="41" t="s">
        <v>1001</v>
      </c>
      <c r="E48" s="58">
        <v>46100</v>
      </c>
      <c r="F48" s="41" t="s">
        <v>1036</v>
      </c>
      <c r="G48" s="41" t="s">
        <v>1100</v>
      </c>
      <c r="H48" s="41" t="s">
        <v>803</v>
      </c>
      <c r="I48" s="41">
        <f t="shared" ca="1" si="0"/>
        <v>144</v>
      </c>
    </row>
    <row r="49" spans="1:9" x14ac:dyDescent="0.3">
      <c r="A49" s="41">
        <v>48</v>
      </c>
      <c r="B49" s="41" t="s">
        <v>947</v>
      </c>
      <c r="C49" s="41" t="s">
        <v>1048</v>
      </c>
      <c r="D49" s="41" t="s">
        <v>1001</v>
      </c>
      <c r="E49" s="58">
        <v>46106</v>
      </c>
      <c r="F49" s="41" t="s">
        <v>1036</v>
      </c>
      <c r="G49" s="41" t="s">
        <v>1100</v>
      </c>
      <c r="H49" s="41" t="s">
        <v>803</v>
      </c>
      <c r="I49" s="41">
        <f t="shared" ca="1" si="0"/>
        <v>138</v>
      </c>
    </row>
    <row r="50" spans="1:9" x14ac:dyDescent="0.3">
      <c r="A50" s="41">
        <v>49</v>
      </c>
      <c r="B50" s="41" t="s">
        <v>948</v>
      </c>
      <c r="C50" s="41" t="s">
        <v>1049</v>
      </c>
      <c r="D50" s="41" t="s">
        <v>999</v>
      </c>
      <c r="E50" s="58">
        <v>46186</v>
      </c>
      <c r="F50" s="41"/>
      <c r="G50" s="41" t="s">
        <v>1100</v>
      </c>
      <c r="H50" s="41" t="s">
        <v>1104</v>
      </c>
      <c r="I50" s="41">
        <f t="shared" ca="1" si="0"/>
        <v>58</v>
      </c>
    </row>
    <row r="51" spans="1:9" x14ac:dyDescent="0.3">
      <c r="A51" s="41">
        <v>50</v>
      </c>
      <c r="B51" s="41" t="s">
        <v>949</v>
      </c>
      <c r="C51" s="41" t="s">
        <v>1050</v>
      </c>
      <c r="D51" s="41" t="s">
        <v>999</v>
      </c>
      <c r="E51" s="58">
        <v>46185</v>
      </c>
      <c r="F51" s="41"/>
      <c r="G51" s="41" t="s">
        <v>1100</v>
      </c>
      <c r="H51" s="41" t="s">
        <v>803</v>
      </c>
      <c r="I51" s="41">
        <f t="shared" ca="1" si="0"/>
        <v>59</v>
      </c>
    </row>
    <row r="52" spans="1:9" x14ac:dyDescent="0.3">
      <c r="A52" s="41">
        <v>51</v>
      </c>
      <c r="B52" s="41" t="s">
        <v>950</v>
      </c>
      <c r="C52" s="41" t="s">
        <v>1051</v>
      </c>
      <c r="D52" s="41" t="s">
        <v>999</v>
      </c>
      <c r="E52" s="58">
        <v>46139</v>
      </c>
      <c r="F52" s="41" t="s">
        <v>405</v>
      </c>
      <c r="G52" s="41" t="s">
        <v>1100</v>
      </c>
      <c r="H52" s="41" t="s">
        <v>1101</v>
      </c>
      <c r="I52" s="41">
        <f t="shared" ca="1" si="0"/>
        <v>105</v>
      </c>
    </row>
    <row r="53" spans="1:9" x14ac:dyDescent="0.3">
      <c r="A53" s="41">
        <v>52</v>
      </c>
      <c r="B53" s="41" t="s">
        <v>951</v>
      </c>
      <c r="C53" s="41" t="s">
        <v>1052</v>
      </c>
      <c r="D53" s="41" t="s">
        <v>1001</v>
      </c>
      <c r="E53" s="58">
        <v>46153</v>
      </c>
      <c r="F53" s="41" t="s">
        <v>283</v>
      </c>
      <c r="G53" s="41" t="s">
        <v>1100</v>
      </c>
      <c r="H53" s="41" t="s">
        <v>1103</v>
      </c>
      <c r="I53" s="41">
        <f t="shared" ca="1" si="0"/>
        <v>91</v>
      </c>
    </row>
    <row r="54" spans="1:9" x14ac:dyDescent="0.3">
      <c r="A54" s="41">
        <v>53</v>
      </c>
      <c r="B54" s="41" t="s">
        <v>952</v>
      </c>
      <c r="C54" s="41" t="s">
        <v>1053</v>
      </c>
      <c r="D54" s="41" t="s">
        <v>1001</v>
      </c>
      <c r="E54" s="58">
        <v>46134</v>
      </c>
      <c r="F54" s="41" t="s">
        <v>221</v>
      </c>
      <c r="G54" s="41" t="s">
        <v>1100</v>
      </c>
      <c r="H54" s="41" t="s">
        <v>121</v>
      </c>
      <c r="I54" s="41">
        <f t="shared" ca="1" si="0"/>
        <v>110</v>
      </c>
    </row>
    <row r="55" spans="1:9" x14ac:dyDescent="0.3">
      <c r="A55" s="41">
        <v>54</v>
      </c>
      <c r="B55" s="41" t="s">
        <v>953</v>
      </c>
      <c r="C55" s="41" t="s">
        <v>1054</v>
      </c>
      <c r="D55" s="41" t="s">
        <v>999</v>
      </c>
      <c r="E55" s="58">
        <v>46168</v>
      </c>
      <c r="F55" s="41" t="s">
        <v>129</v>
      </c>
      <c r="G55" s="41" t="s">
        <v>1100</v>
      </c>
      <c r="H55" s="41" t="s">
        <v>1101</v>
      </c>
      <c r="I55" s="41">
        <f t="shared" ca="1" si="0"/>
        <v>76</v>
      </c>
    </row>
    <row r="56" spans="1:9" x14ac:dyDescent="0.3">
      <c r="A56" s="41">
        <v>55</v>
      </c>
      <c r="B56" s="41" t="s">
        <v>954</v>
      </c>
      <c r="C56" s="41" t="s">
        <v>1055</v>
      </c>
      <c r="D56" s="41" t="s">
        <v>1001</v>
      </c>
      <c r="E56" s="58">
        <v>46066</v>
      </c>
      <c r="F56" s="41" t="s">
        <v>1036</v>
      </c>
      <c r="G56" s="41" t="s">
        <v>1100</v>
      </c>
      <c r="H56" s="41" t="s">
        <v>803</v>
      </c>
      <c r="I56" s="41">
        <f t="shared" ca="1" si="0"/>
        <v>178</v>
      </c>
    </row>
    <row r="57" spans="1:9" x14ac:dyDescent="0.3">
      <c r="A57" s="41">
        <v>56</v>
      </c>
      <c r="B57" s="41" t="s">
        <v>955</v>
      </c>
      <c r="C57" s="41" t="s">
        <v>1056</v>
      </c>
      <c r="D57" s="41" t="s">
        <v>1001</v>
      </c>
      <c r="E57" s="58">
        <v>46086</v>
      </c>
      <c r="F57" s="41" t="s">
        <v>1036</v>
      </c>
      <c r="G57" s="41" t="s">
        <v>1100</v>
      </c>
      <c r="H57" s="41" t="s">
        <v>803</v>
      </c>
      <c r="I57" s="41">
        <f t="shared" ca="1" si="0"/>
        <v>158</v>
      </c>
    </row>
    <row r="58" spans="1:9" x14ac:dyDescent="0.3">
      <c r="A58" s="41">
        <v>57</v>
      </c>
      <c r="B58" s="41" t="s">
        <v>956</v>
      </c>
      <c r="C58" s="41" t="s">
        <v>1057</v>
      </c>
      <c r="D58" s="41" t="s">
        <v>999</v>
      </c>
      <c r="E58" s="58">
        <v>46098</v>
      </c>
      <c r="F58" s="41" t="s">
        <v>1036</v>
      </c>
      <c r="G58" s="41" t="s">
        <v>1100</v>
      </c>
      <c r="H58" s="41" t="s">
        <v>803</v>
      </c>
      <c r="I58" s="41">
        <f t="shared" ca="1" si="0"/>
        <v>146</v>
      </c>
    </row>
    <row r="59" spans="1:9" x14ac:dyDescent="0.3">
      <c r="A59" s="41">
        <v>58</v>
      </c>
      <c r="B59" s="41" t="s">
        <v>957</v>
      </c>
      <c r="C59" s="41" t="s">
        <v>1058</v>
      </c>
      <c r="D59" s="41" t="s">
        <v>1001</v>
      </c>
      <c r="E59" s="58">
        <v>45978</v>
      </c>
      <c r="F59" s="41" t="s">
        <v>90</v>
      </c>
      <c r="G59" s="41" t="s">
        <v>1100</v>
      </c>
      <c r="H59" s="41" t="s">
        <v>1105</v>
      </c>
      <c r="I59" s="41">
        <f t="shared" ca="1" si="0"/>
        <v>266</v>
      </c>
    </row>
    <row r="60" spans="1:9" x14ac:dyDescent="0.3">
      <c r="A60" s="41">
        <v>59</v>
      </c>
      <c r="B60" s="41" t="s">
        <v>958</v>
      </c>
      <c r="C60" s="41" t="s">
        <v>1059</v>
      </c>
      <c r="D60" s="41" t="s">
        <v>1001</v>
      </c>
      <c r="E60" s="58">
        <v>45992</v>
      </c>
      <c r="F60" s="41" t="s">
        <v>164</v>
      </c>
      <c r="G60" s="41" t="s">
        <v>1100</v>
      </c>
      <c r="H60" s="41" t="s">
        <v>1105</v>
      </c>
      <c r="I60" s="41">
        <f t="shared" ca="1" si="0"/>
        <v>252</v>
      </c>
    </row>
    <row r="61" spans="1:9" x14ac:dyDescent="0.3">
      <c r="A61" s="41">
        <v>60</v>
      </c>
      <c r="B61" s="41" t="s">
        <v>959</v>
      </c>
      <c r="C61" s="41" t="s">
        <v>1060</v>
      </c>
      <c r="D61" s="41" t="s">
        <v>1001</v>
      </c>
      <c r="E61" s="58">
        <v>46133</v>
      </c>
      <c r="F61" s="41" t="s">
        <v>221</v>
      </c>
      <c r="G61" s="41" t="s">
        <v>1100</v>
      </c>
      <c r="H61" s="41" t="s">
        <v>121</v>
      </c>
      <c r="I61" s="41">
        <f t="shared" ca="1" si="0"/>
        <v>111</v>
      </c>
    </row>
    <row r="62" spans="1:9" x14ac:dyDescent="0.3">
      <c r="A62" s="41">
        <v>61</v>
      </c>
      <c r="B62" s="41" t="s">
        <v>960</v>
      </c>
      <c r="C62" s="41" t="s">
        <v>1061</v>
      </c>
      <c r="D62" s="41" t="s">
        <v>1001</v>
      </c>
      <c r="E62" s="58">
        <v>46128</v>
      </c>
      <c r="F62" s="41" t="s">
        <v>164</v>
      </c>
      <c r="G62" s="41" t="s">
        <v>1100</v>
      </c>
      <c r="H62" s="41" t="s">
        <v>121</v>
      </c>
      <c r="I62" s="41">
        <f t="shared" ca="1" si="0"/>
        <v>116</v>
      </c>
    </row>
    <row r="63" spans="1:9" x14ac:dyDescent="0.3">
      <c r="A63" s="41">
        <v>62</v>
      </c>
      <c r="B63" s="41" t="s">
        <v>961</v>
      </c>
      <c r="C63" s="41" t="s">
        <v>1062</v>
      </c>
      <c r="D63" s="41" t="s">
        <v>1001</v>
      </c>
      <c r="E63" s="58">
        <v>46147</v>
      </c>
      <c r="F63" s="41" t="s">
        <v>596</v>
      </c>
      <c r="G63" s="41" t="s">
        <v>1100</v>
      </c>
      <c r="H63" s="41" t="s">
        <v>803</v>
      </c>
      <c r="I63" s="41">
        <f t="shared" ca="1" si="0"/>
        <v>97</v>
      </c>
    </row>
    <row r="64" spans="1:9" x14ac:dyDescent="0.3">
      <c r="A64" s="41">
        <v>63</v>
      </c>
      <c r="B64" s="41" t="s">
        <v>962</v>
      </c>
      <c r="C64" s="41" t="s">
        <v>1063</v>
      </c>
      <c r="D64" s="41" t="s">
        <v>999</v>
      </c>
      <c r="E64" s="58">
        <v>46108</v>
      </c>
      <c r="F64" s="41" t="s">
        <v>526</v>
      </c>
      <c r="G64" s="41" t="s">
        <v>1100</v>
      </c>
      <c r="H64" s="41" t="s">
        <v>499</v>
      </c>
      <c r="I64" s="41">
        <f t="shared" ca="1" si="0"/>
        <v>136</v>
      </c>
    </row>
    <row r="65" spans="1:9" x14ac:dyDescent="0.3">
      <c r="A65" s="41">
        <v>64</v>
      </c>
      <c r="B65" s="41" t="s">
        <v>963</v>
      </c>
      <c r="C65" s="41" t="s">
        <v>1064</v>
      </c>
      <c r="D65" s="41" t="s">
        <v>999</v>
      </c>
      <c r="E65" s="58">
        <v>46106</v>
      </c>
      <c r="F65" s="41" t="s">
        <v>542</v>
      </c>
      <c r="G65" s="41" t="s">
        <v>1100</v>
      </c>
      <c r="H65" s="41" t="s">
        <v>499</v>
      </c>
      <c r="I65" s="41">
        <f t="shared" ca="1" si="0"/>
        <v>138</v>
      </c>
    </row>
    <row r="66" spans="1:9" x14ac:dyDescent="0.3">
      <c r="A66" s="41">
        <v>65</v>
      </c>
      <c r="B66" s="41" t="s">
        <v>964</v>
      </c>
      <c r="C66" s="41" t="s">
        <v>1065</v>
      </c>
      <c r="D66" s="41" t="s">
        <v>1001</v>
      </c>
      <c r="E66" s="58">
        <v>46141</v>
      </c>
      <c r="F66" s="41" t="s">
        <v>412</v>
      </c>
      <c r="G66" s="41" t="s">
        <v>1100</v>
      </c>
      <c r="H66" s="41" t="s">
        <v>1103</v>
      </c>
      <c r="I66" s="41">
        <f t="shared" ca="1" si="0"/>
        <v>103</v>
      </c>
    </row>
    <row r="67" spans="1:9" x14ac:dyDescent="0.3">
      <c r="A67" s="41">
        <v>66</v>
      </c>
      <c r="B67" s="41" t="s">
        <v>965</v>
      </c>
      <c r="C67" s="41" t="s">
        <v>1066</v>
      </c>
      <c r="D67" s="41" t="s">
        <v>1001</v>
      </c>
      <c r="E67" s="58">
        <v>46092</v>
      </c>
      <c r="F67" s="41" t="s">
        <v>164</v>
      </c>
      <c r="G67" s="41" t="s">
        <v>1100</v>
      </c>
      <c r="H67" s="41" t="s">
        <v>1103</v>
      </c>
      <c r="I67" s="41">
        <f t="shared" ref="I67:I99" ca="1" si="1">_xlfn.DAYS(TODAY(),E67)</f>
        <v>152</v>
      </c>
    </row>
    <row r="68" spans="1:9" x14ac:dyDescent="0.3">
      <c r="A68" s="41">
        <v>67</v>
      </c>
      <c r="B68" s="41" t="s">
        <v>966</v>
      </c>
      <c r="C68" s="41" t="s">
        <v>1067</v>
      </c>
      <c r="D68" s="41" t="s">
        <v>1001</v>
      </c>
      <c r="E68" s="58">
        <v>46078</v>
      </c>
      <c r="F68" s="41" t="s">
        <v>164</v>
      </c>
      <c r="G68" s="41" t="s">
        <v>1100</v>
      </c>
      <c r="H68" s="41" t="s">
        <v>121</v>
      </c>
      <c r="I68" s="41">
        <f t="shared" ca="1" si="1"/>
        <v>166</v>
      </c>
    </row>
    <row r="69" spans="1:9" x14ac:dyDescent="0.3">
      <c r="A69" s="41">
        <v>68</v>
      </c>
      <c r="B69" s="41" t="s">
        <v>967</v>
      </c>
      <c r="C69" s="41" t="s">
        <v>1068</v>
      </c>
      <c r="D69" s="41" t="s">
        <v>1001</v>
      </c>
      <c r="E69" s="58">
        <v>45981</v>
      </c>
      <c r="F69" s="41" t="s">
        <v>164</v>
      </c>
      <c r="G69" s="41" t="s">
        <v>1100</v>
      </c>
      <c r="H69" s="41" t="s">
        <v>1105</v>
      </c>
      <c r="I69" s="41">
        <f t="shared" ca="1" si="1"/>
        <v>263</v>
      </c>
    </row>
    <row r="70" spans="1:9" x14ac:dyDescent="0.3">
      <c r="A70" s="41">
        <v>69</v>
      </c>
      <c r="B70" s="41" t="s">
        <v>968</v>
      </c>
      <c r="C70" s="41" t="s">
        <v>1069</v>
      </c>
      <c r="D70" s="41" t="s">
        <v>1012</v>
      </c>
      <c r="E70" s="58">
        <v>46123</v>
      </c>
      <c r="F70" s="41" t="s">
        <v>1013</v>
      </c>
      <c r="G70" s="41" t="s">
        <v>1100</v>
      </c>
      <c r="H70" s="41" t="s">
        <v>1102</v>
      </c>
      <c r="I70" s="41">
        <f t="shared" ca="1" si="1"/>
        <v>121</v>
      </c>
    </row>
    <row r="71" spans="1:9" x14ac:dyDescent="0.3">
      <c r="A71" s="41">
        <v>70</v>
      </c>
      <c r="B71" s="41" t="s">
        <v>969</v>
      </c>
      <c r="C71" s="41" t="s">
        <v>1070</v>
      </c>
      <c r="D71" s="41" t="s">
        <v>999</v>
      </c>
      <c r="E71" s="58">
        <v>46090</v>
      </c>
      <c r="F71" s="41" t="s">
        <v>90</v>
      </c>
      <c r="G71" s="41" t="s">
        <v>1100</v>
      </c>
      <c r="H71" s="41" t="s">
        <v>1101</v>
      </c>
      <c r="I71" s="41">
        <f t="shared" ca="1" si="1"/>
        <v>154</v>
      </c>
    </row>
    <row r="72" spans="1:9" x14ac:dyDescent="0.3">
      <c r="A72" s="41">
        <v>71</v>
      </c>
      <c r="B72" s="41" t="s">
        <v>970</v>
      </c>
      <c r="C72" s="41" t="s">
        <v>1071</v>
      </c>
      <c r="D72" s="41" t="s">
        <v>1012</v>
      </c>
      <c r="E72" s="58">
        <v>46109</v>
      </c>
      <c r="F72" s="41" t="s">
        <v>1013</v>
      </c>
      <c r="G72" s="41" t="s">
        <v>1100</v>
      </c>
      <c r="H72" s="41" t="s">
        <v>1102</v>
      </c>
      <c r="I72" s="41">
        <f t="shared" ca="1" si="1"/>
        <v>135</v>
      </c>
    </row>
    <row r="73" spans="1:9" x14ac:dyDescent="0.3">
      <c r="A73" s="41">
        <v>72</v>
      </c>
      <c r="B73" s="41" t="s">
        <v>971</v>
      </c>
      <c r="C73" s="41" t="s">
        <v>1072</v>
      </c>
      <c r="D73" s="41" t="s">
        <v>1001</v>
      </c>
      <c r="E73" s="58">
        <v>46110</v>
      </c>
      <c r="F73" s="41" t="s">
        <v>1036</v>
      </c>
      <c r="G73" s="41" t="s">
        <v>1100</v>
      </c>
      <c r="H73" s="41" t="s">
        <v>803</v>
      </c>
      <c r="I73" s="41">
        <f t="shared" ca="1" si="1"/>
        <v>134</v>
      </c>
    </row>
    <row r="74" spans="1:9" x14ac:dyDescent="0.3">
      <c r="A74" s="41">
        <v>73</v>
      </c>
      <c r="B74" s="41" t="s">
        <v>972</v>
      </c>
      <c r="C74" s="41" t="s">
        <v>1073</v>
      </c>
      <c r="D74" s="41" t="s">
        <v>1001</v>
      </c>
      <c r="E74" s="58">
        <v>46071</v>
      </c>
      <c r="F74" s="41" t="s">
        <v>221</v>
      </c>
      <c r="G74" s="41" t="s">
        <v>1100</v>
      </c>
      <c r="H74" s="41" t="s">
        <v>121</v>
      </c>
      <c r="I74" s="41">
        <f t="shared" ca="1" si="1"/>
        <v>173</v>
      </c>
    </row>
    <row r="75" spans="1:9" x14ac:dyDescent="0.3">
      <c r="A75" s="41">
        <v>74</v>
      </c>
      <c r="B75" s="41" t="s">
        <v>973</v>
      </c>
      <c r="C75" s="41" t="s">
        <v>1074</v>
      </c>
      <c r="D75" s="41" t="s">
        <v>999</v>
      </c>
      <c r="E75" s="58">
        <v>46094</v>
      </c>
      <c r="F75" s="41" t="s">
        <v>526</v>
      </c>
      <c r="G75" s="41" t="s">
        <v>1100</v>
      </c>
      <c r="H75" s="41" t="s">
        <v>499</v>
      </c>
      <c r="I75" s="41">
        <f t="shared" ca="1" si="1"/>
        <v>150</v>
      </c>
    </row>
    <row r="76" spans="1:9" x14ac:dyDescent="0.3">
      <c r="A76" s="41">
        <v>75</v>
      </c>
      <c r="B76" s="41" t="s">
        <v>974</v>
      </c>
      <c r="C76" s="41" t="s">
        <v>1075</v>
      </c>
      <c r="D76" s="41" t="s">
        <v>1001</v>
      </c>
      <c r="E76" s="58">
        <v>46014</v>
      </c>
      <c r="F76" s="41" t="s">
        <v>1036</v>
      </c>
      <c r="G76" s="41" t="s">
        <v>1100</v>
      </c>
      <c r="H76" s="41" t="s">
        <v>803</v>
      </c>
      <c r="I76" s="41">
        <f t="shared" ca="1" si="1"/>
        <v>230</v>
      </c>
    </row>
    <row r="77" spans="1:9" x14ac:dyDescent="0.3">
      <c r="A77" s="41">
        <v>76</v>
      </c>
      <c r="B77" s="41" t="s">
        <v>975</v>
      </c>
      <c r="C77" s="41" t="s">
        <v>1076</v>
      </c>
      <c r="D77" s="41" t="s">
        <v>1001</v>
      </c>
      <c r="E77" s="58">
        <v>46094</v>
      </c>
      <c r="F77" s="41" t="s">
        <v>1036</v>
      </c>
      <c r="G77" s="41" t="s">
        <v>1100</v>
      </c>
      <c r="H77" s="41" t="s">
        <v>803</v>
      </c>
      <c r="I77" s="41">
        <f t="shared" ca="1" si="1"/>
        <v>150</v>
      </c>
    </row>
    <row r="78" spans="1:9" x14ac:dyDescent="0.3">
      <c r="A78" s="41">
        <v>77</v>
      </c>
      <c r="B78" s="41" t="s">
        <v>976</v>
      </c>
      <c r="C78" s="41" t="s">
        <v>1077</v>
      </c>
      <c r="D78" s="41" t="s">
        <v>999</v>
      </c>
      <c r="E78" s="58">
        <v>46069</v>
      </c>
      <c r="F78" s="41" t="s">
        <v>90</v>
      </c>
      <c r="G78" s="41" t="s">
        <v>1100</v>
      </c>
      <c r="H78" s="41" t="s">
        <v>1101</v>
      </c>
      <c r="I78" s="41">
        <f t="shared" ca="1" si="1"/>
        <v>175</v>
      </c>
    </row>
    <row r="79" spans="1:9" x14ac:dyDescent="0.3">
      <c r="A79" s="41">
        <v>78</v>
      </c>
      <c r="B79" s="41" t="s">
        <v>977</v>
      </c>
      <c r="C79" s="41" t="s">
        <v>1078</v>
      </c>
      <c r="D79" s="41" t="s">
        <v>999</v>
      </c>
      <c r="E79" s="58">
        <v>45989</v>
      </c>
      <c r="F79" s="41" t="s">
        <v>104</v>
      </c>
      <c r="G79" s="41" t="s">
        <v>1100</v>
      </c>
      <c r="H79" s="41" t="s">
        <v>1103</v>
      </c>
      <c r="I79" s="41">
        <f t="shared" ca="1" si="1"/>
        <v>255</v>
      </c>
    </row>
    <row r="80" spans="1:9" x14ac:dyDescent="0.3">
      <c r="A80" s="41">
        <v>79</v>
      </c>
      <c r="B80" s="41" t="s">
        <v>978</v>
      </c>
      <c r="C80" s="41" t="s">
        <v>1079</v>
      </c>
      <c r="D80" s="41" t="s">
        <v>999</v>
      </c>
      <c r="E80" s="58">
        <v>46014</v>
      </c>
      <c r="F80" s="41" t="s">
        <v>164</v>
      </c>
      <c r="G80" s="41" t="s">
        <v>1100</v>
      </c>
      <c r="H80" s="41" t="s">
        <v>121</v>
      </c>
      <c r="I80" s="41">
        <f t="shared" ca="1" si="1"/>
        <v>230</v>
      </c>
    </row>
    <row r="81" spans="1:9" x14ac:dyDescent="0.3">
      <c r="A81" s="41">
        <v>80</v>
      </c>
      <c r="B81" s="41" t="s">
        <v>979</v>
      </c>
      <c r="C81" s="41" t="s">
        <v>1080</v>
      </c>
      <c r="D81" s="41" t="s">
        <v>1001</v>
      </c>
      <c r="E81" s="58">
        <v>46030</v>
      </c>
      <c r="F81" s="41" t="s">
        <v>73</v>
      </c>
      <c r="G81" s="41" t="s">
        <v>1100</v>
      </c>
      <c r="H81" s="41" t="s">
        <v>803</v>
      </c>
      <c r="I81" s="41">
        <f t="shared" ca="1" si="1"/>
        <v>214</v>
      </c>
    </row>
    <row r="82" spans="1:9" x14ac:dyDescent="0.3">
      <c r="A82" s="41">
        <v>81</v>
      </c>
      <c r="B82" s="41" t="s">
        <v>980</v>
      </c>
      <c r="C82" s="41" t="s">
        <v>1081</v>
      </c>
      <c r="D82" s="41" t="s">
        <v>1001</v>
      </c>
      <c r="E82" s="58">
        <v>46001</v>
      </c>
      <c r="F82" s="41" t="s">
        <v>73</v>
      </c>
      <c r="G82" s="41" t="s">
        <v>1100</v>
      </c>
      <c r="H82" s="41" t="s">
        <v>803</v>
      </c>
      <c r="I82" s="41">
        <f t="shared" ca="1" si="1"/>
        <v>243</v>
      </c>
    </row>
    <row r="83" spans="1:9" x14ac:dyDescent="0.3">
      <c r="A83" s="41">
        <v>82</v>
      </c>
      <c r="B83" s="41" t="s">
        <v>981</v>
      </c>
      <c r="C83" s="41" t="s">
        <v>1082</v>
      </c>
      <c r="D83" s="41" t="s">
        <v>999</v>
      </c>
      <c r="E83" s="58">
        <v>46076</v>
      </c>
      <c r="F83" s="41" t="s">
        <v>1083</v>
      </c>
      <c r="G83" s="41" t="s">
        <v>1106</v>
      </c>
      <c r="H83" s="41" t="s">
        <v>499</v>
      </c>
      <c r="I83" s="41">
        <f t="shared" ca="1" si="1"/>
        <v>168</v>
      </c>
    </row>
    <row r="84" spans="1:9" x14ac:dyDescent="0.3">
      <c r="A84" s="41">
        <v>83</v>
      </c>
      <c r="B84" s="41" t="s">
        <v>982</v>
      </c>
      <c r="C84" s="41" t="s">
        <v>1084</v>
      </c>
      <c r="D84" s="41" t="s">
        <v>999</v>
      </c>
      <c r="E84" s="58">
        <v>46060</v>
      </c>
      <c r="F84" s="41" t="s">
        <v>508</v>
      </c>
      <c r="G84" s="41" t="s">
        <v>1106</v>
      </c>
      <c r="H84" s="41" t="s">
        <v>499</v>
      </c>
      <c r="I84" s="41">
        <f t="shared" ca="1" si="1"/>
        <v>184</v>
      </c>
    </row>
    <row r="85" spans="1:9" x14ac:dyDescent="0.3">
      <c r="A85" s="41">
        <v>84</v>
      </c>
      <c r="B85" s="41" t="s">
        <v>983</v>
      </c>
      <c r="C85" s="41" t="s">
        <v>1085</v>
      </c>
      <c r="D85" s="41" t="s">
        <v>999</v>
      </c>
      <c r="E85" s="58">
        <v>46041</v>
      </c>
      <c r="F85" s="41" t="s">
        <v>526</v>
      </c>
      <c r="G85" s="41" t="s">
        <v>1100</v>
      </c>
      <c r="H85" s="41" t="s">
        <v>499</v>
      </c>
      <c r="I85" s="41">
        <f t="shared" ca="1" si="1"/>
        <v>203</v>
      </c>
    </row>
    <row r="86" spans="1:9" x14ac:dyDescent="0.3">
      <c r="A86" s="41">
        <v>85</v>
      </c>
      <c r="B86" s="41" t="s">
        <v>984</v>
      </c>
      <c r="C86" s="41" t="s">
        <v>1086</v>
      </c>
      <c r="D86" s="41" t="s">
        <v>1001</v>
      </c>
      <c r="E86" s="58">
        <v>45999</v>
      </c>
      <c r="F86" s="41" t="s">
        <v>1036</v>
      </c>
      <c r="G86" s="41" t="s">
        <v>1100</v>
      </c>
      <c r="H86" s="41" t="s">
        <v>1103</v>
      </c>
      <c r="I86" s="41">
        <f t="shared" ca="1" si="1"/>
        <v>245</v>
      </c>
    </row>
    <row r="87" spans="1:9" x14ac:dyDescent="0.3">
      <c r="A87" s="41">
        <v>86</v>
      </c>
      <c r="B87" s="41" t="s">
        <v>985</v>
      </c>
      <c r="C87" s="41" t="s">
        <v>1087</v>
      </c>
      <c r="D87" s="41" t="s">
        <v>999</v>
      </c>
      <c r="E87" s="58">
        <v>46055</v>
      </c>
      <c r="F87" s="41" t="s">
        <v>545</v>
      </c>
      <c r="G87" s="41" t="s">
        <v>1106</v>
      </c>
      <c r="H87" s="41" t="s">
        <v>499</v>
      </c>
      <c r="I87" s="41">
        <f t="shared" ca="1" si="1"/>
        <v>189</v>
      </c>
    </row>
    <row r="88" spans="1:9" x14ac:dyDescent="0.3">
      <c r="A88" s="41">
        <v>87</v>
      </c>
      <c r="B88" s="41" t="s">
        <v>986</v>
      </c>
      <c r="C88" s="41" t="s">
        <v>1088</v>
      </c>
      <c r="D88" s="41" t="s">
        <v>1001</v>
      </c>
      <c r="E88" s="58">
        <v>46005</v>
      </c>
      <c r="F88" s="41" t="s">
        <v>164</v>
      </c>
      <c r="G88" s="41" t="s">
        <v>1100</v>
      </c>
      <c r="H88" s="41" t="s">
        <v>1105</v>
      </c>
      <c r="I88" s="41">
        <f t="shared" ca="1" si="1"/>
        <v>239</v>
      </c>
    </row>
    <row r="89" spans="1:9" x14ac:dyDescent="0.3">
      <c r="A89" s="41">
        <v>88</v>
      </c>
      <c r="B89" s="41" t="s">
        <v>987</v>
      </c>
      <c r="C89" s="41" t="s">
        <v>1089</v>
      </c>
      <c r="D89" s="41" t="s">
        <v>999</v>
      </c>
      <c r="E89" s="58">
        <v>46002</v>
      </c>
      <c r="F89" s="41" t="s">
        <v>526</v>
      </c>
      <c r="G89" s="41" t="s">
        <v>1100</v>
      </c>
      <c r="H89" s="41" t="s">
        <v>499</v>
      </c>
      <c r="I89" s="41">
        <f t="shared" ca="1" si="1"/>
        <v>242</v>
      </c>
    </row>
    <row r="90" spans="1:9" x14ac:dyDescent="0.3">
      <c r="A90" s="41">
        <v>89</v>
      </c>
      <c r="B90" s="41" t="s">
        <v>988</v>
      </c>
      <c r="C90" s="41" t="s">
        <v>1090</v>
      </c>
      <c r="D90" s="41" t="s">
        <v>999</v>
      </c>
      <c r="E90" s="58">
        <v>45996</v>
      </c>
      <c r="F90" s="41" t="s">
        <v>1083</v>
      </c>
      <c r="G90" s="41" t="s">
        <v>1100</v>
      </c>
      <c r="H90" s="41" t="s">
        <v>499</v>
      </c>
      <c r="I90" s="41">
        <f t="shared" ca="1" si="1"/>
        <v>248</v>
      </c>
    </row>
    <row r="91" spans="1:9" x14ac:dyDescent="0.3">
      <c r="A91" s="41">
        <v>90</v>
      </c>
      <c r="B91" s="41" t="s">
        <v>989</v>
      </c>
      <c r="C91" s="41" t="s">
        <v>1091</v>
      </c>
      <c r="D91" s="41" t="s">
        <v>999</v>
      </c>
      <c r="E91" s="58">
        <v>45985</v>
      </c>
      <c r="F91" s="41" t="s">
        <v>526</v>
      </c>
      <c r="G91" s="41" t="s">
        <v>1106</v>
      </c>
      <c r="H91" s="41" t="s">
        <v>499</v>
      </c>
      <c r="I91" s="41">
        <f t="shared" ca="1" si="1"/>
        <v>259</v>
      </c>
    </row>
    <row r="92" spans="1:9" x14ac:dyDescent="0.3">
      <c r="A92" s="41">
        <v>91</v>
      </c>
      <c r="B92" s="41" t="s">
        <v>990</v>
      </c>
      <c r="C92" s="41" t="s">
        <v>1092</v>
      </c>
      <c r="D92" s="41" t="s">
        <v>999</v>
      </c>
      <c r="E92" s="58">
        <v>45976</v>
      </c>
      <c r="F92" s="41" t="s">
        <v>526</v>
      </c>
      <c r="G92" s="41" t="s">
        <v>1106</v>
      </c>
      <c r="H92" s="41" t="s">
        <v>499</v>
      </c>
      <c r="I92" s="41">
        <f t="shared" ca="1" si="1"/>
        <v>268</v>
      </c>
    </row>
    <row r="93" spans="1:9" x14ac:dyDescent="0.3">
      <c r="A93" s="41">
        <v>92</v>
      </c>
      <c r="B93" s="41" t="s">
        <v>991</v>
      </c>
      <c r="C93" s="41" t="s">
        <v>1093</v>
      </c>
      <c r="D93" s="41" t="s">
        <v>999</v>
      </c>
      <c r="E93" s="58">
        <v>45993</v>
      </c>
      <c r="F93" s="41" t="s">
        <v>526</v>
      </c>
      <c r="G93" s="41" t="s">
        <v>1106</v>
      </c>
      <c r="H93" s="41" t="s">
        <v>499</v>
      </c>
      <c r="I93" s="41">
        <f t="shared" ca="1" si="1"/>
        <v>251</v>
      </c>
    </row>
    <row r="94" spans="1:9" x14ac:dyDescent="0.3">
      <c r="A94" s="41">
        <v>93</v>
      </c>
      <c r="B94" s="41" t="s">
        <v>992</v>
      </c>
      <c r="C94" s="41" t="s">
        <v>1094</v>
      </c>
      <c r="D94" s="41" t="s">
        <v>999</v>
      </c>
      <c r="E94" s="58">
        <v>45994</v>
      </c>
      <c r="F94" s="41" t="s">
        <v>1083</v>
      </c>
      <c r="G94" s="41" t="s">
        <v>1106</v>
      </c>
      <c r="H94" s="41" t="s">
        <v>499</v>
      </c>
      <c r="I94" s="41">
        <f t="shared" ca="1" si="1"/>
        <v>250</v>
      </c>
    </row>
    <row r="95" spans="1:9" x14ac:dyDescent="0.3">
      <c r="A95" s="41">
        <v>94</v>
      </c>
      <c r="B95" s="41" t="s">
        <v>993</v>
      </c>
      <c r="C95" s="41" t="s">
        <v>1095</v>
      </c>
      <c r="D95" s="41" t="s">
        <v>999</v>
      </c>
      <c r="E95" s="58">
        <v>45973</v>
      </c>
      <c r="F95" s="41" t="s">
        <v>526</v>
      </c>
      <c r="G95" s="41" t="s">
        <v>1106</v>
      </c>
      <c r="H95" s="41" t="s">
        <v>499</v>
      </c>
      <c r="I95" s="41">
        <f t="shared" ca="1" si="1"/>
        <v>271</v>
      </c>
    </row>
    <row r="96" spans="1:9" x14ac:dyDescent="0.3">
      <c r="A96" s="41">
        <v>95</v>
      </c>
      <c r="B96" s="41" t="s">
        <v>994</v>
      </c>
      <c r="C96" s="41" t="s">
        <v>1096</v>
      </c>
      <c r="D96" s="41" t="s">
        <v>999</v>
      </c>
      <c r="E96" s="58">
        <v>45945</v>
      </c>
      <c r="F96" s="41"/>
      <c r="G96" s="41" t="s">
        <v>1106</v>
      </c>
      <c r="H96" s="41" t="s">
        <v>499</v>
      </c>
      <c r="I96" s="41">
        <f t="shared" ca="1" si="1"/>
        <v>299</v>
      </c>
    </row>
    <row r="97" spans="1:9" x14ac:dyDescent="0.3">
      <c r="A97" s="41">
        <v>96</v>
      </c>
      <c r="B97" s="41" t="s">
        <v>995</v>
      </c>
      <c r="C97" s="41" t="s">
        <v>1097</v>
      </c>
      <c r="D97" s="41" t="s">
        <v>999</v>
      </c>
      <c r="E97" s="58">
        <v>45888</v>
      </c>
      <c r="F97" s="41" t="s">
        <v>526</v>
      </c>
      <c r="G97" s="41" t="s">
        <v>1106</v>
      </c>
      <c r="H97" s="41" t="s">
        <v>499</v>
      </c>
      <c r="I97" s="41">
        <f t="shared" ca="1" si="1"/>
        <v>356</v>
      </c>
    </row>
    <row r="98" spans="1:9" x14ac:dyDescent="0.3">
      <c r="A98" s="41">
        <v>97</v>
      </c>
      <c r="B98" s="41" t="s">
        <v>996</v>
      </c>
      <c r="C98" s="41" t="s">
        <v>1098</v>
      </c>
      <c r="D98" s="41" t="s">
        <v>1012</v>
      </c>
      <c r="E98" s="58">
        <v>45631</v>
      </c>
      <c r="F98" s="41" t="s">
        <v>90</v>
      </c>
      <c r="G98" s="41" t="s">
        <v>1106</v>
      </c>
      <c r="H98" s="41" t="s">
        <v>499</v>
      </c>
      <c r="I98" s="41">
        <f t="shared" ca="1" si="1"/>
        <v>613</v>
      </c>
    </row>
    <row r="99" spans="1:9" x14ac:dyDescent="0.3">
      <c r="A99" s="41">
        <v>98</v>
      </c>
      <c r="B99" s="41" t="s">
        <v>997</v>
      </c>
      <c r="C99" s="41" t="s">
        <v>1099</v>
      </c>
      <c r="D99" s="41" t="s">
        <v>1012</v>
      </c>
      <c r="E99" s="58">
        <v>45793</v>
      </c>
      <c r="F99" s="41" t="s">
        <v>542</v>
      </c>
      <c r="G99" s="41" t="s">
        <v>1106</v>
      </c>
      <c r="H99" s="41" t="s">
        <v>499</v>
      </c>
      <c r="I99" s="41">
        <f t="shared" ca="1" si="1"/>
        <v>451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workbookViewId="0">
      <selection activeCell="K14" sqref="K14"/>
    </sheetView>
  </sheetViews>
  <sheetFormatPr defaultRowHeight="14.4" x14ac:dyDescent="0.3"/>
  <sheetData>
    <row r="1" spans="1:5" ht="24.6" x14ac:dyDescent="0.4">
      <c r="A1" s="59" t="s">
        <v>1107</v>
      </c>
      <c r="B1" s="59"/>
      <c r="C1" s="59"/>
      <c r="D1" s="59"/>
    </row>
    <row r="2" spans="1:5" ht="17.399999999999999" x14ac:dyDescent="0.3">
      <c r="A2" s="60" t="s">
        <v>0</v>
      </c>
      <c r="B2" s="60"/>
      <c r="C2" s="60"/>
      <c r="D2" s="60"/>
    </row>
    <row r="3" spans="1:5" x14ac:dyDescent="0.3">
      <c r="A3" s="61"/>
      <c r="B3" s="61"/>
      <c r="C3" s="61"/>
      <c r="D3" s="61"/>
    </row>
    <row r="4" spans="1:5" x14ac:dyDescent="0.3">
      <c r="A4" s="62" t="s">
        <v>1</v>
      </c>
      <c r="B4" s="62" t="s">
        <v>2</v>
      </c>
      <c r="C4" s="62" t="s">
        <v>3</v>
      </c>
      <c r="D4" s="63" t="s">
        <v>4</v>
      </c>
    </row>
    <row r="5" spans="1:5" x14ac:dyDescent="0.3">
      <c r="A5" s="18">
        <v>1</v>
      </c>
      <c r="B5" s="18" t="s">
        <v>485</v>
      </c>
      <c r="C5" s="18">
        <v>148</v>
      </c>
      <c r="D5" s="18">
        <f>SUM(E12:E15)</f>
        <v>81.06</v>
      </c>
    </row>
    <row r="6" spans="1:5" x14ac:dyDescent="0.3">
      <c r="A6" s="18">
        <v>2</v>
      </c>
      <c r="B6" s="18" t="s">
        <v>740</v>
      </c>
      <c r="C6" s="18">
        <v>33</v>
      </c>
      <c r="D6" s="18">
        <v>21.25</v>
      </c>
    </row>
    <row r="7" spans="1:5" x14ac:dyDescent="0.3">
      <c r="A7" s="18">
        <v>3</v>
      </c>
      <c r="B7" s="18" t="s">
        <v>875</v>
      </c>
      <c r="C7" s="18">
        <v>121</v>
      </c>
      <c r="D7" s="64">
        <f>SUM(E17:E19)</f>
        <v>169.44</v>
      </c>
    </row>
    <row r="9" spans="1:5" x14ac:dyDescent="0.3">
      <c r="A9" s="60" t="s">
        <v>25</v>
      </c>
      <c r="B9" s="60"/>
      <c r="C9" s="60"/>
      <c r="D9" s="60"/>
      <c r="E9" s="60"/>
    </row>
    <row r="10" spans="1:5" x14ac:dyDescent="0.3">
      <c r="A10" s="60"/>
      <c r="B10" s="60"/>
      <c r="C10" s="60"/>
      <c r="D10" s="60"/>
      <c r="E10" s="60"/>
    </row>
    <row r="11" spans="1:5" x14ac:dyDescent="0.3">
      <c r="A11" s="65" t="s">
        <v>1</v>
      </c>
      <c r="B11" s="65" t="s">
        <v>2</v>
      </c>
      <c r="C11" s="65" t="s">
        <v>31</v>
      </c>
      <c r="D11" s="65" t="s">
        <v>3</v>
      </c>
      <c r="E11" s="66" t="s">
        <v>4</v>
      </c>
    </row>
    <row r="12" spans="1:5" x14ac:dyDescent="0.3">
      <c r="A12" s="20">
        <v>1</v>
      </c>
      <c r="B12" s="20" t="s">
        <v>485</v>
      </c>
      <c r="C12" s="20" t="s">
        <v>37</v>
      </c>
      <c r="D12" s="20">
        <v>33</v>
      </c>
      <c r="E12" s="67">
        <v>32.270000000000003</v>
      </c>
    </row>
    <row r="13" spans="1:5" x14ac:dyDescent="0.3">
      <c r="A13" s="20">
        <v>2</v>
      </c>
      <c r="B13" s="20" t="s">
        <v>485</v>
      </c>
      <c r="C13" s="20" t="s">
        <v>38</v>
      </c>
      <c r="D13" s="20">
        <v>44</v>
      </c>
      <c r="E13" s="67">
        <v>25.67</v>
      </c>
    </row>
    <row r="14" spans="1:5" x14ac:dyDescent="0.3">
      <c r="A14" s="20">
        <v>3</v>
      </c>
      <c r="B14" s="20" t="s">
        <v>485</v>
      </c>
      <c r="C14" s="20" t="s">
        <v>39</v>
      </c>
      <c r="D14" s="20">
        <v>27</v>
      </c>
      <c r="E14" s="67">
        <v>16.12</v>
      </c>
    </row>
    <row r="15" spans="1:5" x14ac:dyDescent="0.3">
      <c r="A15" s="20">
        <v>4</v>
      </c>
      <c r="B15" s="20" t="s">
        <v>485</v>
      </c>
      <c r="C15" s="20" t="s">
        <v>40</v>
      </c>
      <c r="D15" s="20">
        <v>44</v>
      </c>
      <c r="E15" s="68">
        <v>7</v>
      </c>
    </row>
    <row r="16" spans="1:5" x14ac:dyDescent="0.3">
      <c r="A16" s="20">
        <v>5</v>
      </c>
      <c r="B16" s="20" t="s">
        <v>740</v>
      </c>
      <c r="C16" s="20" t="s">
        <v>487</v>
      </c>
      <c r="D16" s="20">
        <v>33</v>
      </c>
      <c r="E16" s="68">
        <v>21.25</v>
      </c>
    </row>
    <row r="17" spans="1:5" x14ac:dyDescent="0.3">
      <c r="A17" s="20">
        <v>6</v>
      </c>
      <c r="B17" s="20" t="s">
        <v>875</v>
      </c>
      <c r="C17" s="20" t="s">
        <v>745</v>
      </c>
      <c r="D17" s="20">
        <v>36</v>
      </c>
      <c r="E17" s="68">
        <v>64.48</v>
      </c>
    </row>
    <row r="18" spans="1:5" x14ac:dyDescent="0.3">
      <c r="A18" s="20">
        <v>7</v>
      </c>
      <c r="B18" s="20" t="s">
        <v>875</v>
      </c>
      <c r="C18" s="20" t="s">
        <v>746</v>
      </c>
      <c r="D18" s="20">
        <v>48</v>
      </c>
      <c r="E18" s="68">
        <v>55.69</v>
      </c>
    </row>
    <row r="19" spans="1:5" x14ac:dyDescent="0.3">
      <c r="A19" s="20">
        <v>8</v>
      </c>
      <c r="B19" s="20" t="s">
        <v>875</v>
      </c>
      <c r="C19" s="20" t="s">
        <v>747</v>
      </c>
      <c r="D19" s="20">
        <v>48</v>
      </c>
      <c r="E19" s="68">
        <v>49.27</v>
      </c>
    </row>
  </sheetData>
  <mergeCells count="4">
    <mergeCell ref="A1:D1"/>
    <mergeCell ref="A2:D2"/>
    <mergeCell ref="A3:D3"/>
    <mergeCell ref="A9:E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Master Sheet</vt:lpstr>
      <vt:lpstr>DE&amp;Reopen</vt:lpstr>
      <vt:lpstr>NT Tasks</vt:lpstr>
      <vt:lpstr>Meeting</vt:lpstr>
      <vt:lpstr>Sprint 72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Teampro HR</dc:creator>
  <cp:lastModifiedBy>Teampro HR</cp:lastModifiedBy>
  <dcterms:created xsi:type="dcterms:W3CDTF">2026-08-08T04:24:07Z</dcterms:created>
  <dcterms:modified xsi:type="dcterms:W3CDTF">2026-08-10T06:30:13Z</dcterms:modified>
</cp:coreProperties>
</file>